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14f76a942845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修订摘要" sheetId="1" r:id="Rfc657ad1f6204e47"/>
    <x:sheet xmlns:r="http://schemas.openxmlformats.org/officeDocument/2006/relationships" name="01_管理员锁定样本" sheetId="2" r:id="R69823fd0bea447dd"/>
    <x:sheet xmlns:r="http://schemas.openxmlformats.org/officeDocument/2006/relationships" name="02_测量会话Schema" sheetId="3" r:id="Rabf8d17fe66342d7"/>
    <x:sheet xmlns:r="http://schemas.openxmlformats.org/officeDocument/2006/relationships" name="03_动态TraceSchema" sheetId="4" r:id="R1adb170742df4a16"/>
    <x:sheet xmlns:r="http://schemas.openxmlformats.org/officeDocument/2006/relationships" name="04_管理员映射Schema" sheetId="5" r:id="Rdc46676ae0644c73"/>
    <x:sheet xmlns:r="http://schemas.openxmlformats.org/officeDocument/2006/relationships" name="05_解盲GT_Schema" sheetId="6" r:id="Ra4a6c278f53b4d26"/>
    <x:sheet xmlns:r="http://schemas.openxmlformats.org/officeDocument/2006/relationships" name="06_方法评价Schema" sheetId="7" r:id="Rdbd325dceea04a2a"/>
    <x:sheet xmlns:r="http://schemas.openxmlformats.org/officeDocument/2006/relationships" name="07_植株汇总Schema" sheetId="8" r:id="R073b1e93d6ab42c3"/>
    <x:sheet xmlns:r="http://schemas.openxmlformats.org/officeDocument/2006/relationships" name="08_MDC95预锁定" sheetId="9" r:id="Rbb3998f3718d4178"/>
    <x:sheet xmlns:r="http://schemas.openxmlformats.org/officeDocument/2006/relationships" name="09_HTML边界验收" sheetId="10" r:id="R950a7aff278a4b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"/>
    <x:numFmt numFmtId="201" formatCode="0.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66666"/>
      <x:name val="Carlito"/>
    </x:font>
    <x:font>
      <x:b/>
      <x:sz val="11"/>
      <x:color rgb="FF17365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DCE6F1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</x:fills>
  <x:borders count="11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200" fontId="0" fillId="0" borderId="6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201" fontId="0" fillId="0" borderId="3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201" fontId="0" fillId="0" borderId="10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7" xfId="0" applyNumberFormat="1" applyFont="1" applyFill="1" applyBorder="1" applyAlignment="1">
      <x:alignment vertical="top" wrapText="1"/>
    </x:xf>
    <x:xf numFmtId="0" fontId="0" fillId="6" borderId="1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dad0ea5a8c41f7" /><Relationship Type="http://schemas.openxmlformats.org/officeDocument/2006/relationships/theme" Target="/xl/theme/theme1.xml" Id="R07d6c64cb8ba447f" /><Relationship Type="http://schemas.openxmlformats.org/officeDocument/2006/relationships/sharedStrings" Target="/xl/sharedStrings.xml" Id="R13b5a7637bc240a9" /><Relationship Type="http://schemas.openxmlformats.org/officeDocument/2006/relationships/worksheet" Target="/xl/worksheets/sheet1.xml" Id="Rfc657ad1f6204e47" /><Relationship Type="http://schemas.openxmlformats.org/officeDocument/2006/relationships/worksheet" Target="/xl/worksheets/sheet2.xml" Id="R69823fd0bea447dd" /><Relationship Type="http://schemas.openxmlformats.org/officeDocument/2006/relationships/worksheet" Target="/xl/worksheets/sheet3.xml" Id="Rabf8d17fe66342d7" /><Relationship Type="http://schemas.openxmlformats.org/officeDocument/2006/relationships/worksheet" Target="/xl/worksheets/sheet4.xml" Id="R1adb170742df4a16" /><Relationship Type="http://schemas.openxmlformats.org/officeDocument/2006/relationships/worksheet" Target="/xl/worksheets/sheet5.xml" Id="Rdc46676ae0644c73" /><Relationship Type="http://schemas.openxmlformats.org/officeDocument/2006/relationships/worksheet" Target="/xl/worksheets/sheet6.xml" Id="Ra4a6c278f53b4d26" /><Relationship Type="http://schemas.openxmlformats.org/officeDocument/2006/relationships/worksheet" Target="/xl/worksheets/sheet7.xml" Id="Rdbd325dceea04a2a" /><Relationship Type="http://schemas.openxmlformats.org/officeDocument/2006/relationships/worksheet" Target="/xl/worksheets/sheet8.xml" Id="R073b1e93d6ab42c3" /><Relationship Type="http://schemas.openxmlformats.org/officeDocument/2006/relationships/worksheet" Target="/xl/worksheets/sheet9.xml" Id="Rbb3998f3718d4178" /><Relationship Type="http://schemas.openxmlformats.org/officeDocument/2006/relationships/worksheet" Target="/xl/worksheets/sheet10.xml" Id="R950a7aff278a4be2" /></Relationships>
</file>

<file path=xl/tables/table1.xml><?xml version="1.0" encoding="utf-8"?>
<x:table xmlns:x="http://schemas.openxmlformats.org/spreadsheetml/2006/main" id="1" name="AdminLockedSamples" displayName="AdminLockedSamples" ref="A4:M20" headerRowCount="1" totalsRowCount="0" totalsRowShown="0">
  <x:tableColumns count="13">
    <x:tableColumn id="1" name="dataset_id"/>
    <x:tableColumn id="2" name="pilot_group"/>
    <x:tableColumn id="3" name="source_frame_id"/>
    <x:tableColumn id="4" name="acquisition_period"/>
    <x:tableColumn id="5" name="orientation"/>
    <x:tableColumn id="6" name="visible_leaf_count_postlock_ADMIN_ONLY"/>
    <x:tableColumn id="7" name="source_dpi"/>
    <x:tableColumn id="8" name="resize_scale"/>
    <x:tableColumn id="9" name="mm_per_output_px"/>
    <x:tableColumn id="10" name="scale_label"/>
    <x:tableColumn id="11" name="selection_basis"/>
    <x:tableColumn id="12" name="selection_reason"/>
    <x:tableColumn id="13" name="lock_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c0a5d2b21dd43c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4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</x:cols>
  <x:sheetData>
    <x:row r="1" ht="30" customHeight="1">
      <x:c r="A1" s="3" t="str">
        <x:v>Phenotype-first protocol v2 修订摘要</x:v>
      </x:c>
    </x:row>
    <x:row r="2" ht="38" customHeight="1">
      <x:c r="A2" s="7" t="str">
        <x:v>协议已批准；本工作簿只冻结 schema 与计算规则，尚未生成测量包或开始描迹。</x:v>
      </x:c>
    </x:row>
    <x:row r="4">
      <x:c r="A4" s="12" t="str">
        <x:v>修订项</x:v>
      </x:c>
      <x:c r="B4" s="12" t="str">
        <x:v>v2锁定结果</x:v>
      </x:c>
      <x:c r="C4" s="12" t="str">
        <x:v>测量者可见</x:v>
      </x:c>
      <x:c r="D4" s="12" t="str">
        <x:v>管理员可见</x:v>
      </x:c>
      <x:c r="E4" s="12" t="str">
        <x:v>实施状态</x:v>
      </x:c>
      <x:c r="F4" s="12" t="str">
        <x:v>风险控制</x:v>
      </x:c>
    </x:row>
    <x:row r="5">
      <x:c r="A5" s="15" t="str">
        <x:v>样本</x:v>
      </x:c>
      <x:c r="B5" s="16" t="str">
        <x:v>Core 12 + Diagnostic 4保持原锁定</x:v>
      </x:c>
      <x:c r="C5" s="16" t="str">
        <x:v>仅匿名图</x:v>
      </x:c>
      <x:c r="D5" s="16" t="str">
        <x:v>原dataset_id与分组</x:v>
      </x:c>
      <x:c r="E5" s="16" t="str">
        <x:v>locked</x:v>
      </x:c>
      <x:c r="F5" s="17" t="str">
        <x:v>不按模型结果重选</x:v>
      </x:c>
    </x:row>
    <x:row r="6">
      <x:c r="A6" s="18" t="str">
        <x:v>长度名称</x:v>
      </x:c>
      <x:c r="B6" s="19" t="str">
        <x:v>base-to-tip structural path length / 基部—叶尖结构路径长度</x:v>
      </x:c>
      <x:c r="C6" s="19" t="str">
        <x:v>正式全称</x:v>
      </x:c>
      <x:c r="D6" s="19" t="str">
        <x:v>同左</x:v>
      </x:c>
      <x:c r="E6" s="19" t="str">
        <x:v>locked</x:v>
      </x:c>
      <x:c r="F6" s="20" t="str">
        <x:v>禁止简称叶长</x:v>
      </x:c>
    </x:row>
    <x:row r="7">
      <x:c r="A7" s="18" t="str">
        <x:v>物理尺度</x:v>
      </x:c>
      <x:c r="B7" s="19" t="str">
        <x:v>px + bbox norm + metadata-derived mm</x:v>
      </x:c>
      <x:c r="C7" s="19" t="str">
        <x:v>px与bbox norm</x:v>
      </x:c>
      <x:c r="D7" s="19" t="str">
        <x:v>三尺度</x:v>
      </x:c>
      <x:c r="E7" s="19" t="str">
        <x:v>locked</x:v>
      </x:c>
      <x:c r="F7" s="20" t="str">
        <x:v>mm注明derived from scanner metadata</x:v>
      </x:c>
    </x:row>
    <x:row r="8">
      <x:c r="A8" s="18" t="str">
        <x:v>Rater 2</x:v>
      </x:c>
      <x:c r="B8" s="19" t="str">
        <x:v>推荐16；最低全部Core 12</x:v>
      </x:c>
      <x:c r="C8" s="19" t="str">
        <x:v>本人任务</x:v>
      </x:c>
      <x:c r="D8" s="19" t="str">
        <x:v>覆盖表</x:v>
      </x:c>
      <x:c r="E8" s="19" t="str">
        <x:v>locked</x:v>
      </x:c>
      <x:c r="F8" s="20" t="str">
        <x:v>废止8张最低方案</x:v>
      </x:c>
    </x:row>
    <x:row r="9">
      <x:c r="A9" s="18" t="str">
        <x:v>叶片数量</x:v>
      </x:c>
      <x:c r="B9" s="19" t="str">
        <x:v>动态添加trace</x:v>
      </x:c>
      <x:c r="C9" s="19" t="str">
        <x:v>无预期叶数</x:v>
      </x:c>
      <x:c r="D9" s="19" t="str">
        <x:v>提交后GT编号</x:v>
      </x:c>
      <x:c r="E9" s="19" t="str">
        <x:v>locked</x:v>
      </x:c>
      <x:c r="F9" s="20" t="str">
        <x:v>不传旧visible_leaf_count</x:v>
      </x:c>
    </x:row>
    <x:row r="10">
      <x:c r="A10" s="18" t="str">
        <x:v>blind ID</x:v>
      </x:c>
      <x:c r="B10" s="19" t="str">
        <x:v>至少12位密码学随机、跨轮次不复用</x:v>
      </x:c>
      <x:c r="C10" s="19" t="str">
        <x:v>opaque ID</x:v>
      </x:c>
      <x:c r="D10" s="19" t="str">
        <x:v>独立映射</x:v>
      </x:c>
      <x:c r="E10" s="19" t="str">
        <x:v>implementation pending</x:v>
      </x:c>
      <x:c r="F10" s="20" t="str">
        <x:v>映射不进测量包</x:v>
      </x:c>
    </x:row>
    <x:row r="11">
      <x:c r="A11" s="18" t="str">
        <x:v>MDC95</x:v>
      </x:c>
      <x:c r="B11" s="19" t="str">
        <x:v>SEM=SDdiff/sqrt(2); MDC95=1.96*SDdiff</x:v>
      </x:c>
      <x:c r="C11" s="19" t="str">
        <x:v>不可见</x:v>
      </x:c>
      <x:c r="D11" s="19" t="str">
        <x:v>预锁定规则</x:v>
      </x:c>
      <x:c r="E11" s="19" t="str">
        <x:v>locked</x:v>
      </x:c>
      <x:c r="F11" s="20" t="str">
        <x:v>长度角度分别处理</x:v>
      </x:c>
    </x:row>
    <x:row r="12">
      <x:c r="A12" s="18" t="str">
        <x:v>主路径</x:v>
      </x:c>
      <x:c r="B12" s="19" t="str">
        <x:v>长度→弦长→极角→trace_uuid</x:v>
      </x:c>
      <x:c r="C12" s="19" t="str">
        <x:v>软件自动</x:v>
      </x:c>
      <x:c r="D12" s="19" t="str">
        <x:v>审计字段</x:v>
      </x:c>
      <x:c r="E12" s="19" t="str">
        <x:v>locked</x:v>
      </x:c>
      <x:c r="F12" s="20" t="str">
        <x:v>Rater不得覆盖</x:v>
      </x:c>
    </x:row>
    <x:row r="13">
      <x:c r="A13" s="21" t="str">
        <x:v>曲率</x:v>
      </x:c>
      <x:c r="B13" s="22" t="str">
        <x:v>exploratory</x:v>
      </x:c>
      <x:c r="C13" s="22" t="str">
        <x:v>可记录</x:v>
      </x:c>
      <x:c r="D13" s="22" t="str">
        <x:v>不设淘汰门槛</x:v>
      </x:c>
      <x:c r="E13" s="22" t="str">
        <x:v>locked</x:v>
      </x:c>
      <x:c r="F13" s="23" t="str">
        <x:v>不得单独裁决方法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28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44" hidden="0" customWidth="1"/>
    <x:col min="12" max="12" width="44" hidden="0" customWidth="1"/>
    <x:col min="13" max="13" width="14" hidden="0" customWidth="1"/>
  </x:cols>
  <x:sheetData>
    <x:row r="1" ht="30" customHeight="1">
      <x:c r="A1" s="3" t="str">
        <x:v>管理员锁定样本（不得进入测量包）</x:v>
      </x:c>
    </x:row>
    <x:row r="2" ht="38" customHeight="1">
      <x:c r="A2" s="7" t="str">
        <x:v>16张保持不变；旧visible_leaf_count仅为锁定后审计，严禁传给测量页面。</x:v>
      </x:c>
    </x:row>
    <x:row r="4">
      <x:c r="A4" s="12" t="str">
        <x:v>dataset_id</x:v>
      </x:c>
      <x:c r="B4" s="12" t="str">
        <x:v>pilot_group</x:v>
      </x:c>
      <x:c r="C4" s="12" t="str">
        <x:v>source_frame_id</x:v>
      </x:c>
      <x:c r="D4" s="12" t="str">
        <x:v>acquisition_period</x:v>
      </x:c>
      <x:c r="E4" s="12" t="str">
        <x:v>orientation</x:v>
      </x:c>
      <x:c r="F4" s="12" t="str">
        <x:v>visible_leaf_count_postlock_ADMIN_ONLY</x:v>
      </x:c>
      <x:c r="G4" s="12" t="str">
        <x:v>source_dpi</x:v>
      </x:c>
      <x:c r="H4" s="12" t="str">
        <x:v>resize_scale</x:v>
      </x:c>
      <x:c r="I4" s="12" t="str">
        <x:v>mm_per_output_px</x:v>
      </x:c>
      <x:c r="J4" s="12" t="str">
        <x:v>scale_label</x:v>
      </x:c>
      <x:c r="K4" s="12" t="str">
        <x:v>selection_basis</x:v>
      </x:c>
      <x:c r="L4" s="12" t="str">
        <x:v>selection_reason</x:v>
      </x:c>
      <x:c r="M4" s="12" t="str">
        <x:v>lock_status</x:v>
      </x:c>
    </x:row>
    <x:row r="5">
      <x:c r="A5" s="15" t="str">
        <x:v>v4_val_0004</x:v>
      </x:c>
      <x:c r="B5" s="16" t="str">
        <x:v>core</x:v>
      </x:c>
      <x:c r="C5" s="16" t="str">
        <x:v>src_0347</x:v>
      </x:c>
      <x:c r="D5" s="16" t="str">
        <x:v>period_0515</x:v>
      </x:c>
      <x:c r="E5" s="16" t="str">
        <x:v>horizontal</x:v>
      </x:c>
      <x:c r="F5" s="24" t="n">
        <x:v>2</x:v>
      </x:c>
      <x:c r="G5" s="27" t="n">
        <x:v>600</x:v>
      </x:c>
      <x:c r="H5" s="27" t="n">
        <x:v>0.40414246021722655</x:v>
      </x:c>
      <x:c r="I5" s="27" t="n">
        <x:v>0.10474854166666667</x:v>
      </x:c>
      <x:c r="J5" s="16" t="str">
        <x:v>derived from scanner metadata</x:v>
      </x:c>
      <x:c r="K5" s="16" t="str">
        <x:v>acquisition+original_morphology_only</x:v>
      </x:c>
      <x:c r="L5" s="16" t="str">
        <x:v>source-frame quota plus robust morphology medoid/farthest sampling</x:v>
      </x:c>
      <x:c r="M5" s="17" t="str">
        <x:v>locked</x:v>
      </x:c>
    </x:row>
    <x:row r="6">
      <x:c r="A6" s="18" t="str">
        <x:v>v4_val_0005</x:v>
      </x:c>
      <x:c r="B6" s="19" t="str">
        <x:v>core</x:v>
      </x:c>
      <x:c r="C6" s="19" t="str">
        <x:v>src_0347</x:v>
      </x:c>
      <x:c r="D6" s="19" t="str">
        <x:v>period_0515</x:v>
      </x:c>
      <x:c r="E6" s="19" t="str">
        <x:v>horizontal</x:v>
      </x:c>
      <x:c r="F6" s="25" t="n">
        <x:v>2</x:v>
      </x:c>
      <x:c r="G6" s="28" t="n">
        <x:v>600</x:v>
      </x:c>
      <x:c r="H6" s="28" t="n">
        <x:v>0.6324110671936759</x:v>
      </x:c>
      <x:c r="I6" s="28" t="n">
        <x:v>0.06693958333333333</x:v>
      </x:c>
      <x:c r="J6" s="19" t="str">
        <x:v>derived from scanner metadata</x:v>
      </x:c>
      <x:c r="K6" s="19" t="str">
        <x:v>acquisition+original_morphology_only</x:v>
      </x:c>
      <x:c r="L6" s="19" t="str">
        <x:v>source-frame quota plus robust morphology medoid/farthest sampling</x:v>
      </x:c>
      <x:c r="M6" s="20" t="str">
        <x:v>locked</x:v>
      </x:c>
    </x:row>
    <x:row r="7">
      <x:c r="A7" s="18" t="str">
        <x:v>v4_val_0006</x:v>
      </x:c>
      <x:c r="B7" s="19" t="str">
        <x:v>core</x:v>
      </x:c>
      <x:c r="C7" s="19" t="str">
        <x:v>src_0347</x:v>
      </x:c>
      <x:c r="D7" s="19" t="str">
        <x:v>period_0515</x:v>
      </x:c>
      <x:c r="E7" s="19" t="str">
        <x:v>horizontal</x:v>
      </x:c>
      <x:c r="F7" s="25" t="n">
        <x:v>2</x:v>
      </x:c>
      <x:c r="G7" s="28" t="n">
        <x:v>600</x:v>
      </x:c>
      <x:c r="H7" s="28" t="n">
        <x:v>0.362400906002265</x:v>
      </x:c>
      <x:c r="I7" s="28" t="n">
        <x:v>0.11681354166666666</x:v>
      </x:c>
      <x:c r="J7" s="19" t="str">
        <x:v>derived from scanner metadata</x:v>
      </x:c>
      <x:c r="K7" s="19" t="str">
        <x:v>acquisition+original_morphology_only</x:v>
      </x:c>
      <x:c r="L7" s="19" t="str">
        <x:v>source-frame quota plus robust morphology medoid/farthest sampling</x:v>
      </x:c>
      <x:c r="M7" s="20" t="str">
        <x:v>locked</x:v>
      </x:c>
    </x:row>
    <x:row r="8">
      <x:c r="A8" s="18" t="str">
        <x:v>v4_val_0009</x:v>
      </x:c>
      <x:c r="B8" s="19" t="str">
        <x:v>core</x:v>
      </x:c>
      <x:c r="C8" s="19" t="str">
        <x:v>src_0546</x:v>
      </x:c>
      <x:c r="D8" s="19" t="str">
        <x:v>period_0516</x:v>
      </x:c>
      <x:c r="E8" s="19" t="str">
        <x:v>horizontal</x:v>
      </x:c>
      <x:c r="F8" s="25" t="n">
        <x:v>1</x:v>
      </x:c>
      <x:c r="G8" s="28" t="n">
        <x:v>600</x:v>
      </x:c>
      <x:c r="H8" s="28" t="n">
        <x:v>0.9060022650056625</x:v>
      </x:c>
      <x:c r="I8" s="28" t="n">
        <x:v>0.046725416666666665</x:v>
      </x:c>
      <x:c r="J8" s="19" t="str">
        <x:v>derived from scanner metadata</x:v>
      </x:c>
      <x:c r="K8" s="19" t="str">
        <x:v>acquisition+original_morphology_only</x:v>
      </x:c>
      <x:c r="L8" s="19" t="str">
        <x:v>source-frame quota plus robust morphology medoid/farthest sampling</x:v>
      </x:c>
      <x:c r="M8" s="20" t="str">
        <x:v>locked</x:v>
      </x:c>
    </x:row>
    <x:row r="9">
      <x:c r="A9" s="18" t="str">
        <x:v>v4_val_0011</x:v>
      </x:c>
      <x:c r="B9" s="19" t="str">
        <x:v>core</x:v>
      </x:c>
      <x:c r="C9" s="19" t="str">
        <x:v>src_0546</x:v>
      </x:c>
      <x:c r="D9" s="19" t="str">
        <x:v>period_0516</x:v>
      </x:c>
      <x:c r="E9" s="19" t="str">
        <x:v>horizontal</x:v>
      </x:c>
      <x:c r="F9" s="25" t="n">
        <x:v>2</x:v>
      </x:c>
      <x:c r="G9" s="28" t="n">
        <x:v>600</x:v>
      </x:c>
      <x:c r="H9" s="28" t="n">
        <x:v>0.8154943934760448</x:v>
      </x:c>
      <x:c r="I9" s="28" t="n">
        <x:v>0.051911250000000006</x:v>
      </x:c>
      <x:c r="J9" s="19" t="str">
        <x:v>derived from scanner metadata</x:v>
      </x:c>
      <x:c r="K9" s="19" t="str">
        <x:v>acquisition+original_morphology_only</x:v>
      </x:c>
      <x:c r="L9" s="19" t="str">
        <x:v>source-frame quota plus robust morphology medoid/farthest sampling</x:v>
      </x:c>
      <x:c r="M9" s="20" t="str">
        <x:v>locked</x:v>
      </x:c>
    </x:row>
    <x:row r="10">
      <x:c r="A10" s="18" t="str">
        <x:v>v4_val_0016</x:v>
      </x:c>
      <x:c r="B10" s="19" t="str">
        <x:v>core</x:v>
      </x:c>
      <x:c r="C10" s="19" t="str">
        <x:v>src_0615</x:v>
      </x:c>
      <x:c r="D10" s="19" t="str">
        <x:v>period_9.14-5.12</x:v>
      </x:c>
      <x:c r="E10" s="19" t="str">
        <x:v>vertical</x:v>
      </x:c>
      <x:c r="F10" s="25" t="n">
        <x:v>2</x:v>
      </x:c>
      <x:c r="G10" s="28" t="n">
        <x:v>600</x:v>
      </x:c>
      <x:c r="H10" s="28" t="n">
        <x:v>0.4935225169648365</x:v>
      </x:c>
      <x:c r="I10" s="28" t="n">
        <x:v>0.08577791666666666</x:v>
      </x:c>
      <x:c r="J10" s="19" t="str">
        <x:v>derived from scanner metadata</x:v>
      </x:c>
      <x:c r="K10" s="19" t="str">
        <x:v>acquisition+original_morphology_only</x:v>
      </x:c>
      <x:c r="L10" s="19" t="str">
        <x:v>source-frame quota plus robust morphology medoid/farthest sampling</x:v>
      </x:c>
      <x:c r="M10" s="20" t="str">
        <x:v>locked</x:v>
      </x:c>
    </x:row>
    <x:row r="11">
      <x:c r="A11" s="18" t="str">
        <x:v>v4_val_0020</x:v>
      </x:c>
      <x:c r="B11" s="19" t="str">
        <x:v>core</x:v>
      </x:c>
      <x:c r="C11" s="19" t="str">
        <x:v>src_0615</x:v>
      </x:c>
      <x:c r="D11" s="19" t="str">
        <x:v>period_9.14-5.12</x:v>
      </x:c>
      <x:c r="E11" s="19" t="str">
        <x:v>horizontal</x:v>
      </x:c>
      <x:c r="F11" s="25" t="n">
        <x:v>3</x:v>
      </x:c>
      <x:c r="G11" s="28" t="n">
        <x:v>600</x:v>
      </x:c>
      <x:c r="H11" s="28" t="n">
        <x:v>0.4554511813265016</x:v>
      </x:c>
      <x:c r="I11" s="28" t="n">
        <x:v>0.09294812499999999</x:v>
      </x:c>
      <x:c r="J11" s="19" t="str">
        <x:v>derived from scanner metadata</x:v>
      </x:c>
      <x:c r="K11" s="19" t="str">
        <x:v>acquisition+original_morphology_only</x:v>
      </x:c>
      <x:c r="L11" s="19" t="str">
        <x:v>source-frame quota plus robust morphology medoid/farthest sampling</x:v>
      </x:c>
      <x:c r="M11" s="20" t="str">
        <x:v>locked</x:v>
      </x:c>
    </x:row>
    <x:row r="12">
      <x:c r="A12" s="18" t="str">
        <x:v>v4_val_0027</x:v>
      </x:c>
      <x:c r="B12" s="19" t="str">
        <x:v>core</x:v>
      </x:c>
      <x:c r="C12" s="19" t="str">
        <x:v>src_0565</x:v>
      </x:c>
      <x:c r="D12" s="19" t="str">
        <x:v>period_0510</x:v>
      </x:c>
      <x:c r="E12" s="19" t="str">
        <x:v>horizontal</x:v>
      </x:c>
      <x:c r="F12" s="25" t="n">
        <x:v>2</x:v>
      </x:c>
      <x:c r="G12" s="28" t="n">
        <x:v>600</x:v>
      </x:c>
      <x:c r="H12" s="28" t="n">
        <x:v>0.3902439024390244</x:v>
      </x:c>
      <x:c r="I12" s="28" t="n">
        <x:v>0.10847916666666665</x:v>
      </x:c>
      <x:c r="J12" s="19" t="str">
        <x:v>derived from scanner metadata</x:v>
      </x:c>
      <x:c r="K12" s="19" t="str">
        <x:v>acquisition+original_morphology_only</x:v>
      </x:c>
      <x:c r="L12" s="19" t="str">
        <x:v>source-frame quota plus robust morphology medoid/farthest sampling</x:v>
      </x:c>
      <x:c r="M12" s="20" t="str">
        <x:v>locked</x:v>
      </x:c>
    </x:row>
    <x:row r="13">
      <x:c r="A13" s="18" t="str">
        <x:v>v4_val_0028</x:v>
      </x:c>
      <x:c r="B13" s="19" t="str">
        <x:v>core</x:v>
      </x:c>
      <x:c r="C13" s="19" t="str">
        <x:v>src_0565</x:v>
      </x:c>
      <x:c r="D13" s="19" t="str">
        <x:v>period_0510</x:v>
      </x:c>
      <x:c r="E13" s="19" t="str">
        <x:v>vertical</x:v>
      </x:c>
      <x:c r="F13" s="25" t="n">
        <x:v>2</x:v>
      </x:c>
      <x:c r="G13" s="28" t="n">
        <x:v>600</x:v>
      </x:c>
      <x:c r="H13" s="28" t="n">
        <x:v>0.7831620166421929</x:v>
      </x:c>
      <x:c r="I13" s="28" t="n">
        <x:v>0.054054374999999995</x:v>
      </x:c>
      <x:c r="J13" s="19" t="str">
        <x:v>derived from scanner metadata</x:v>
      </x:c>
      <x:c r="K13" s="19" t="str">
        <x:v>acquisition+original_morphology_only</x:v>
      </x:c>
      <x:c r="L13" s="19" t="str">
        <x:v>source-frame quota plus robust morphology medoid/farthest sampling</x:v>
      </x:c>
      <x:c r="M13" s="20" t="str">
        <x:v>locked</x:v>
      </x:c>
    </x:row>
    <x:row r="14">
      <x:c r="A14" s="18" t="str">
        <x:v>v4_val_0030</x:v>
      </x:c>
      <x:c r="B14" s="19" t="str">
        <x:v>core</x:v>
      </x:c>
      <x:c r="C14" s="19" t="str">
        <x:v>src_0349</x:v>
      </x:c>
      <x:c r="D14" s="19" t="str">
        <x:v>period_0515</x:v>
      </x:c>
      <x:c r="E14" s="19" t="str">
        <x:v>horizontal</x:v>
      </x:c>
      <x:c r="F14" s="25" t="n">
        <x:v>2</x:v>
      </x:c>
      <x:c r="G14" s="28" t="n">
        <x:v>600</x:v>
      </x:c>
      <x:c r="H14" s="28" t="n">
        <x:v>0.40261701056869653</x:v>
      </x:c>
      <x:c r="I14" s="28" t="n">
        <x:v>0.10514541666666666</x:v>
      </x:c>
      <x:c r="J14" s="19" t="str">
        <x:v>derived from scanner metadata</x:v>
      </x:c>
      <x:c r="K14" s="19" t="str">
        <x:v>acquisition+original_morphology_only</x:v>
      </x:c>
      <x:c r="L14" s="19" t="str">
        <x:v>source-frame quota plus robust morphology medoid/farthest sampling</x:v>
      </x:c>
      <x:c r="M14" s="20" t="str">
        <x:v>locked</x:v>
      </x:c>
    </x:row>
    <x:row r="15">
      <x:c r="A15" s="18" t="str">
        <x:v>v4_val_0035</x:v>
      </x:c>
      <x:c r="B15" s="19" t="str">
        <x:v>core</x:v>
      </x:c>
      <x:c r="C15" s="19" t="str">
        <x:v>src_0614</x:v>
      </x:c>
      <x:c r="D15" s="19" t="str">
        <x:v>period_9.14-5.12</x:v>
      </x:c>
      <x:c r="E15" s="19" t="str">
        <x:v>horizontal</x:v>
      </x:c>
      <x:c r="F15" s="25" t="n">
        <x:v>3</x:v>
      </x:c>
      <x:c r="G15" s="28" t="n">
        <x:v>600</x:v>
      </x:c>
      <x:c r="H15" s="28" t="n">
        <x:v>0.608596424496006</x:v>
      </x:c>
      <x:c r="I15" s="28" t="n">
        <x:v>0.06955895833333334</x:v>
      </x:c>
      <x:c r="J15" s="19" t="str">
        <x:v>derived from scanner metadata</x:v>
      </x:c>
      <x:c r="K15" s="19" t="str">
        <x:v>acquisition+original_morphology_only</x:v>
      </x:c>
      <x:c r="L15" s="19" t="str">
        <x:v>source-frame quota plus robust morphology medoid/farthest sampling</x:v>
      </x:c>
      <x:c r="M15" s="20" t="str">
        <x:v>locked</x:v>
      </x:c>
    </x:row>
    <x:row r="16">
      <x:c r="A16" s="18" t="str">
        <x:v>v4_val_0037</x:v>
      </x:c>
      <x:c r="B16" s="19" t="str">
        <x:v>core</x:v>
      </x:c>
      <x:c r="C16" s="19" t="str">
        <x:v>src_0560</x:v>
      </x:c>
      <x:c r="D16" s="19" t="str">
        <x:v>period_0510</x:v>
      </x:c>
      <x:c r="E16" s="19" t="str">
        <x:v>horizontal</x:v>
      </x:c>
      <x:c r="F16" s="25" t="n">
        <x:v>2</x:v>
      </x:c>
      <x:c r="G16" s="28" t="n">
        <x:v>600</x:v>
      </x:c>
      <x:c r="H16" s="28" t="n">
        <x:v>0.3504161191414805</x:v>
      </x:c>
      <x:c r="I16" s="28" t="n">
        <x:v>0.12080874999999998</x:v>
      </x:c>
      <x:c r="J16" s="19" t="str">
        <x:v>derived from scanner metadata</x:v>
      </x:c>
      <x:c r="K16" s="19" t="str">
        <x:v>acquisition+original_morphology_only</x:v>
      </x:c>
      <x:c r="L16" s="19" t="str">
        <x:v>source-frame quota plus robust morphology medoid/farthest sampling</x:v>
      </x:c>
      <x:c r="M16" s="20" t="str">
        <x:v>locked</x:v>
      </x:c>
    </x:row>
    <x:row r="17">
      <x:c r="A17" s="18" t="str">
        <x:v>v4_val_0002</x:v>
      </x:c>
      <x:c r="B17" s="19" t="str">
        <x:v>diagnostic</x:v>
      </x:c>
      <x:c r="C17" s="19" t="str">
        <x:v>src_0347</x:v>
      </x:c>
      <x:c r="D17" s="19" t="str">
        <x:v>period_0515</x:v>
      </x:c>
      <x:c r="E17" s="19" t="str">
        <x:v>horizontal</x:v>
      </x:c>
      <x:c r="F17" s="25" t="n">
        <x:v>2</x:v>
      </x:c>
      <x:c r="G17" s="28" t="n">
        <x:v>600</x:v>
      </x:c>
      <x:c r="H17" s="28" t="n">
        <x:v>0.3969238402381543</x:v>
      </x:c>
      <x:c r="I17" s="28" t="n">
        <x:v>0.10665354166666666</x:v>
      </x:c>
      <x:c r="J17" s="19" t="str">
        <x:v>derived from scanner metadata</x:v>
      </x:c>
      <x:c r="K17" s="19" t="str">
        <x:v>frozen_ABCD_disagreement_after_core_lock</x:v>
      </x:c>
      <x:c r="L17" s="19" t="str">
        <x:v>D&gt;B：增强Teacher恢复漏叶并改善基部的正向案例</x:v>
      </x:c>
      <x:c r="M17" s="20" t="str">
        <x:v>locked</x:v>
      </x:c>
    </x:row>
    <x:row r="18">
      <x:c r="A18" s="18" t="str">
        <x:v>v4_val_0018</x:v>
      </x:c>
      <x:c r="B18" s="19" t="str">
        <x:v>diagnostic</x:v>
      </x:c>
      <x:c r="C18" s="19" t="str">
        <x:v>src_0615</x:v>
      </x:c>
      <x:c r="D18" s="19" t="str">
        <x:v>period_9.14-5.12</x:v>
      </x:c>
      <x:c r="E18" s="19" t="str">
        <x:v>horizontal</x:v>
      </x:c>
      <x:c r="F18" s="25" t="n">
        <x:v>3</x:v>
      </x:c>
      <x:c r="G18" s="28" t="n">
        <x:v>600</x:v>
      </x:c>
      <x:c r="H18" s="28" t="n">
        <x:v>0.516295579219103</x:v>
      </x:c>
      <x:c r="I18" s="28" t="n">
        <x:v>0.081994375</x:v>
      </x:c>
      <x:c r="J18" s="19" t="str">
        <x:v>derived from scanner metadata</x:v>
      </x:c>
      <x:c r="K18" s="19" t="str">
        <x:v>frozen_ABCD_disagreement_after_core_lock</x:v>
      </x:c>
      <x:c r="L18" s="19" t="str">
        <x:v>B新增假枝和错连而D消除该错误，用于检查错连的表型代价</x:v>
      </x:c>
      <x:c r="M18" s="20" t="str">
        <x:v>locked</x:v>
      </x:c>
    </x:row>
    <x:row r="19">
      <x:c r="A19" s="18" t="str">
        <x:v>v4_val_0023</x:v>
      </x:c>
      <x:c r="B19" s="19" t="str">
        <x:v>diagnostic</x:v>
      </x:c>
      <x:c r="C19" s="19" t="str">
        <x:v>src_0565</x:v>
      </x:c>
      <x:c r="D19" s="19" t="str">
        <x:v>period_0510</x:v>
      </x:c>
      <x:c r="E19" s="19" t="str">
        <x:v>horizontal</x:v>
      </x:c>
      <x:c r="F19" s="25" t="n">
        <x:v>2</x:v>
      </x:c>
      <x:c r="G19" s="28" t="n">
        <x:v>600</x:v>
      </x:c>
      <x:c r="H19" s="28" t="n">
        <x:v>0.3442340791738382</x:v>
      </x:c>
      <x:c r="I19" s="28" t="n">
        <x:v>0.12297833333333334</x:v>
      </x:c>
      <x:c r="J19" s="19" t="str">
        <x:v>derived from scanner metadata</x:v>
      </x:c>
      <x:c r="K19" s="19" t="str">
        <x:v>frozen_ABCD_disagreement_after_core_lock</x:v>
      </x:c>
      <x:c r="L19" s="19" t="str">
        <x:v>B&gt;D：D丢失两片真叶且基部恶化的反向案例</x:v>
      </x:c>
      <x:c r="M19" s="20" t="str">
        <x:v>locked</x:v>
      </x:c>
    </x:row>
    <x:row r="20">
      <x:c r="A20" s="21" t="str">
        <x:v>v4_val_0034</x:v>
      </x:c>
      <x:c r="B20" s="22" t="str">
        <x:v>diagnostic</x:v>
      </x:c>
      <x:c r="C20" s="22" t="str">
        <x:v>src_0614</x:v>
      </x:c>
      <x:c r="D20" s="22" t="str">
        <x:v>period_9.14-5.12</x:v>
      </x:c>
      <x:c r="E20" s="22" t="str">
        <x:v>horizontal</x:v>
      </x:c>
      <x:c r="F20" s="26" t="n">
        <x:v>2</x:v>
      </x:c>
      <x:c r="G20" s="29" t="n">
        <x:v>600</x:v>
      </x:c>
      <x:c r="H20" s="29" t="n">
        <x:v>0.4698972099853157</x:v>
      </x:c>
      <x:c r="I20" s="29" t="n">
        <x:v>0.09009062500000001</x:v>
      </x:c>
      <x:c r="J20" s="22" t="str">
        <x:v>derived from scanner metadata</x:v>
      </x:c>
      <x:c r="K20" s="22" t="str">
        <x:v>frozen_ABCD_disagreement_after_core_lock</x:v>
      </x:c>
      <x:c r="L20" s="22" t="str">
        <x:v>局部Decoder新增假枝和错连，且各方案均有基部争议</x:v>
      </x:c>
      <x:c r="M20" s="23" t="str">
        <x:v>locked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cc0a5d2b21dd43c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15" hidden="0" customWidth="1"/>
    <x:col min="4" max="4" width="42" hidden="0" customWidth="1"/>
    <x:col min="5" max="5" width="55" hidden="0" customWidth="1"/>
  </x:cols>
  <x:sheetData>
    <x:row r="1" ht="30" customHeight="1">
      <x:c r="A1" s="3" t="str">
        <x:v>测量会话 schema（无预生成任务行）</x:v>
      </x:c>
    </x:row>
    <x:row r="2" ht="38" customHeight="1">
      <x:c r="A2" s="7" t="str">
        <x:v>实际 blind ID 由正式HTML构建器生成；当前仅冻结字段，避免在设计阶段制造可逆或可泄漏编号。</x:v>
      </x:c>
    </x:row>
    <x:row r="4">
      <x:c r="A4" s="12" t="str">
        <x:v>字段</x:v>
      </x:c>
      <x:c r="B4" s="12" t="str">
        <x:v>层级</x:v>
      </x:c>
      <x:c r="C4" s="12" t="str">
        <x:v>是否必填</x:v>
      </x:c>
      <x:c r="D4" s="12" t="str">
        <x:v>允许值/计算</x:v>
      </x:c>
      <x:c r="E4" s="12" t="str">
        <x:v>泄漏与用途说明</x:v>
      </x:c>
    </x:row>
    <x:row r="5">
      <x:c r="A5" s="15" t="str">
        <x:v>protocol_version</x:v>
      </x:c>
      <x:c r="B5" s="16" t="str">
        <x:v>测量者原始层</x:v>
      </x:c>
      <x:c r="C5" s="16" t="str">
        <x:v>是</x:v>
      </x:c>
      <x:c r="D5" s="16" t="str">
        <x:v>phenotype-first-pilot-v2</x:v>
      </x:c>
      <x:c r="E5" s="17" t="str">
        <x:v>固定协议版本</x:v>
      </x:c>
    </x:row>
    <x:row r="6">
      <x:c r="A6" s="18" t="str">
        <x:v>package_id</x:v>
      </x:c>
      <x:c r="B6" s="19" t="str">
        <x:v>测量者原始层</x:v>
      </x:c>
      <x:c r="C6" s="19" t="str">
        <x:v>是</x:v>
      </x:c>
      <x:c r="D6" s="19" t="str">
        <x:v>随机包标识</x:v>
      </x:c>
      <x:c r="E6" s="20" t="str">
        <x:v>不含dataset_id</x:v>
      </x:c>
    </x:row>
    <x:row r="7">
      <x:c r="A7" s="18" t="str">
        <x:v>blind_id</x:v>
      </x:c>
      <x:c r="B7" s="19" t="str">
        <x:v>测量者原始层</x:v>
      </x:c>
      <x:c r="C7" s="19" t="str">
        <x:v>是</x:v>
      </x:c>
      <x:c r="D7" s="19" t="str">
        <x:v>密码学安全随机&gt;=12位</x:v>
      </x:c>
      <x:c r="E7" s="20" t="str">
        <x:v>图像×测量者×轮次唯一</x:v>
      </x:c>
    </x:row>
    <x:row r="8">
      <x:c r="A8" s="18" t="str">
        <x:v>rater_id / measurement_round</x:v>
      </x:c>
      <x:c r="B8" s="19" t="str">
        <x:v>测量者原始层</x:v>
      </x:c>
      <x:c r="C8" s="19" t="str">
        <x:v>是</x:v>
      </x:c>
      <x:c r="D8" s="19" t="str">
        <x:v>R1/1, R1/2, R2/1</x:v>
      </x:c>
      <x:c r="E8" s="20" t="str">
        <x:v>R1两轮使用不同blind_id</x:v>
      </x:c>
    </x:row>
    <x:row r="9">
      <x:c r="A9" s="18" t="str">
        <x:v>image_alias</x:v>
      </x:c>
      <x:c r="B9" s="19" t="str">
        <x:v>测量者原始层</x:v>
      </x:c>
      <x:c r="C9" s="19" t="str">
        <x:v>是</x:v>
      </x:c>
      <x:c r="D9" s="19" t="str">
        <x:v>&lt;blind_id&gt;.png</x:v>
      </x:c>
      <x:c r="E9" s="20" t="str">
        <x:v>源文件名不可出现</x:v>
      </x:c>
    </x:row>
    <x:row r="10">
      <x:c r="A10" s="18" t="str">
        <x:v>common_base_x_px / y_px</x:v>
      </x:c>
      <x:c r="B10" s="19" t="str">
        <x:v>测量者原始层</x:v>
      </x:c>
      <x:c r="C10" s="19" t="str">
        <x:v>提交时</x:v>
      </x:c>
      <x:c r="D10" s="19" t="str">
        <x:v>原图像素</x:v>
      </x:c>
      <x:c r="E10" s="20" t="str">
        <x:v>共同地上部基点</x:v>
      </x:c>
    </x:row>
    <x:row r="11">
      <x:c r="A11" s="18" t="str">
        <x:v>discovered_trace_count</x:v>
      </x:c>
      <x:c r="B11" s="19" t="str">
        <x:v>测量者原始层</x:v>
      </x:c>
      <x:c r="C11" s="19" t="str">
        <x:v>提交时</x:v>
      </x:c>
      <x:c r="D11" s="19" t="str">
        <x:v>动态创建数量</x:v>
      </x:c>
      <x:c r="E11" s="20" t="str">
        <x:v>不得由旧叶数预填</x:v>
      </x:c>
    </x:row>
    <x:row r="12">
      <x:c r="A12" s="21" t="str">
        <x:v>raw_export_sha256</x:v>
      </x:c>
      <x:c r="B12" s="22" t="str">
        <x:v>测量者原始层</x:v>
      </x:c>
      <x:c r="C12" s="22" t="str">
        <x:v>提交时</x:v>
      </x:c>
      <x:c r="D12" s="22" t="str">
        <x:v>SHA-256</x:v>
      </x:c>
      <x:c r="E12" s="23" t="str">
        <x:v>冻结原始会话</x:v>
      </x:c>
    </x:row>
    <x:row r="14" ht="52" customHeight="1">
      <x:c r="A14" s="32" t="str">
        <x:v>CSV文件：phenotype_measurement_session_template.csv（仅表头）。</x:v>
      </x:c>
    </x:row>
  </x:sheetData>
  <x:mergeCells>
    <x:mergeCell ref="A1:E1"/>
    <x:mergeCell ref="A2:E2"/>
    <x:mergeCell ref="A14:E1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15" hidden="0" customWidth="1"/>
    <x:col min="4" max="4" width="42" hidden="0" customWidth="1"/>
    <x:col min="5" max="5" width="55" hidden="0" customWidth="1"/>
  </x:cols>
  <x:sheetData>
    <x:row r="1" ht="30" customHeight="1">
      <x:c r="A1" s="3" t="str">
        <x:v>动态人工 trace schema（仅提交后产生记录）</x:v>
      </x:c>
    </x:row>
    <x:row r="2" ht="38" customHeight="1">
      <x:c r="A2" s="7" t="str">
        <x:v>新页面初始trace数为0；点击“添加叶片”才创建trace_uuid；提交后才分配GT01/GT02...。</x:v>
      </x:c>
    </x:row>
    <x:row r="4">
      <x:c r="A4" s="12" t="str">
        <x:v>字段</x:v>
      </x:c>
      <x:c r="B4" s="12" t="str">
        <x:v>层级</x:v>
      </x:c>
      <x:c r="C4" s="12" t="str">
        <x:v>是否必填</x:v>
      </x:c>
      <x:c r="D4" s="12" t="str">
        <x:v>允许值/计算</x:v>
      </x:c>
      <x:c r="E4" s="12" t="str">
        <x:v>泄漏与用途说明</x:v>
      </x:c>
    </x:row>
    <x:row r="5">
      <x:c r="A5" s="15" t="str">
        <x:v>trace_uuid</x:v>
      </x:c>
      <x:c r="B5" s="16" t="str">
        <x:v>测量者原始层</x:v>
      </x:c>
      <x:c r="C5" s="16" t="str">
        <x:v>动态创建</x:v>
      </x:c>
      <x:c r="D5" s="16" t="str">
        <x:v>随机UUID</x:v>
      </x:c>
      <x:c r="E5" s="17" t="str">
        <x:v>提交前唯一身份</x:v>
      </x:c>
    </x:row>
    <x:row r="6">
      <x:c r="A6" s="18" t="str">
        <x:v>gt_leaf_id_postsubmit</x:v>
      </x:c>
      <x:c r="B6" s="19" t="str">
        <x:v>测量者原始层</x:v>
      </x:c>
      <x:c r="C6" s="19" t="str">
        <x:v>提交后</x:v>
      </x:c>
      <x:c r="D6" s="19" t="str">
        <x:v>GT01, GT02...</x:v>
      </x:c>
      <x:c r="E6" s="20" t="str">
        <x:v>顺时针极角排序后生成</x:v>
      </x:c>
    </x:row>
    <x:row r="7">
      <x:c r="A7" s="18" t="str">
        <x:v>visibility_status</x:v>
      </x:c>
      <x:c r="B7" s="19" t="str">
        <x:v>测量者原始层</x:v>
      </x:c>
      <x:c r="C7" s="19" t="str">
        <x:v>显式选择</x:v>
      </x:c>
      <x:c r="D7" s="19" t="str">
        <x:v>measurable | visible_unmeasurable</x:v>
      </x:c>
      <x:c r="E7" s="20" t="str">
        <x:v>无默认leaf_exists=yes</x:v>
      </x:c>
    </x:row>
    <x:row r="8">
      <x:c r="A8" s="18" t="str">
        <x:v>trace_status</x:v>
      </x:c>
      <x:c r="B8" s="19" t="str">
        <x:v>测量者原始层</x:v>
      </x:c>
      <x:c r="C8" s="19" t="str">
        <x:v>是</x:v>
      </x:c>
      <x:c r="D8" s="19" t="str">
        <x:v>complete | incomplete | not_applicable</x:v>
      </x:c>
      <x:c r="E8" s="20" t="str">
        <x:v>连续指标仅complete</x:v>
      </x:c>
    </x:row>
    <x:row r="9">
      <x:c r="A9" s="18" t="str">
        <x:v>start/tip/trace_file</x:v>
      </x:c>
      <x:c r="B9" s="19" t="str">
        <x:v>测量者原始层</x:v>
      </x:c>
      <x:c r="C9" s="19" t="str">
        <x:v>可测叶</x:v>
      </x:c>
      <x:c r="D9" s="19" t="str">
        <x:v>原图像素坐标</x:v>
      </x:c>
      <x:c r="E9" s="20" t="str">
        <x:v>不包含dataset_id</x:v>
      </x:c>
    </x:row>
    <x:row r="10">
      <x:c r="A10" s="18" t="str">
        <x:v>structural_path_length_px</x:v>
      </x:c>
      <x:c r="B10" s="19" t="str">
        <x:v>测量者原始层</x:v>
      </x:c>
      <x:c r="C10" s="19" t="str">
        <x:v>计算</x:v>
      </x:c>
      <x:c r="D10" s="19" t="str">
        <x:v>折线/统一重采样弧长</x:v>
      </x:c>
      <x:c r="E10" s="20" t="str">
        <x:v>正式名称不得写leaf length</x:v>
      </x:c>
    </x:row>
    <x:row r="11">
      <x:c r="A11" s="18" t="str">
        <x:v>structural_path_length_bbox_norm</x:v>
      </x:c>
      <x:c r="B11" s="19" t="str">
        <x:v>测量者原始层</x:v>
      </x:c>
      <x:c r="C11" s="19" t="str">
        <x:v>计算</x:v>
      </x:c>
      <x:c r="D11" s="19" t="str">
        <x:v>length_px/bbox_diag_px</x:v>
      </x:c>
      <x:c r="E11" s="20" t="str">
        <x:v>跨图尺度敏感性</x:v>
      </x:c>
    </x:row>
    <x:row r="12">
      <x:c r="A12" s="18" t="str">
        <x:v>reference_main_path</x:v>
      </x:c>
      <x:c r="B12" s="19" t="str">
        <x:v>测量者原始层</x:v>
      </x:c>
      <x:c r="C12" s="19" t="str">
        <x:v>计算</x:v>
      </x:c>
      <x:c r="D12" s="19" t="str">
        <x:v>长度→弦长→极角→UUID</x:v>
      </x:c>
      <x:c r="E12" s="20" t="str">
        <x:v>测量者不得覆盖</x:v>
      </x:c>
    </x:row>
    <x:row r="13">
      <x:c r="A13" s="18" t="str">
        <x:v>divergence_angle_deg</x:v>
      </x:c>
      <x:c r="B13" s="19" t="str">
        <x:v>测量者原始层</x:v>
      </x:c>
      <x:c r="C13" s="19" t="str">
        <x:v>非主路径</x:v>
      </x:c>
      <x:c r="D13" s="19" t="str">
        <x:v>0–180</x:v>
      </x:c>
      <x:c r="E13" s="20" t="str">
        <x:v>主路径=not_applicable</x:v>
      </x:c>
    </x:row>
    <x:row r="14">
      <x:c r="A14" s="21" t="str">
        <x:v>total_turning_angle_deg</x:v>
      </x:c>
      <x:c r="B14" s="22" t="str">
        <x:v>测量者原始层</x:v>
      </x:c>
      <x:c r="C14" s="22" t="str">
        <x:v>可选</x:v>
      </x:c>
      <x:c r="D14" s="22" t="str">
        <x:v>degree</x:v>
      </x:c>
      <x:c r="E14" s="23" t="str">
        <x:v>曲率仅exploratory</x:v>
      </x:c>
    </x:row>
    <x:row r="16" ht="52" customHeight="1">
      <x:c r="A16" s="32" t="str">
        <x:v>CSV文件：manual_phenotype_reference_template.csv（仅表头、零数据行）。
禁止字段：dataset_id、pilot_group、visible_leaf_count、method_id。</x:v>
      </x:c>
    </x:row>
  </x:sheetData>
  <x:mergeCells>
    <x:mergeCell ref="A1:E1"/>
    <x:mergeCell ref="A2:E2"/>
    <x:mergeCell ref="A16:E1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15" hidden="0" customWidth="1"/>
    <x:col min="4" max="4" width="42" hidden="0" customWidth="1"/>
    <x:col min="5" max="5" width="55" hidden="0" customWidth="1"/>
  </x:cols>
  <x:sheetData>
    <x:row r="1" ht="30" customHeight="1">
      <x:c r="A1" s="3" t="str">
        <x:v>管理员 blind ID 映射 schema</x:v>
      </x:c>
    </x:row>
    <x:row r="2" ht="38" customHeight="1">
      <x:c r="A2" s="7" t="str">
        <x:v>该表只在正式包构建时生成，独立于测量者包；测量者HTML、源码、localStorage和原始导出均不得包含。</x:v>
      </x:c>
    </x:row>
    <x:row r="4">
      <x:c r="A4" s="12" t="str">
        <x:v>字段</x:v>
      </x:c>
      <x:c r="B4" s="12" t="str">
        <x:v>层级</x:v>
      </x:c>
      <x:c r="C4" s="12" t="str">
        <x:v>是否必填</x:v>
      </x:c>
      <x:c r="D4" s="12" t="str">
        <x:v>允许值/计算</x:v>
      </x:c>
      <x:c r="E4" s="12" t="str">
        <x:v>泄漏与用途说明</x:v>
      </x:c>
    </x:row>
    <x:row r="5">
      <x:c r="A5" s="15" t="str">
        <x:v>blind_id</x:v>
      </x:c>
      <x:c r="B5" s="16" t="str">
        <x:v>管理员层</x:v>
      </x:c>
      <x:c r="C5" s="16" t="str">
        <x:v>是</x:v>
      </x:c>
      <x:c r="D5" s="16" t="str">
        <x:v>密码学安全随机&gt;=12位</x:v>
      </x:c>
      <x:c r="E5" s="17" t="str">
        <x:v>全包碰撞检查</x:v>
      </x:c>
    </x:row>
    <x:row r="6">
      <x:c r="A6" s="18" t="str">
        <x:v>dataset_id / pilot_group</x:v>
      </x:c>
      <x:c r="B6" s="19" t="str">
        <x:v>管理员层</x:v>
      </x:c>
      <x:c r="C6" s="19" t="str">
        <x:v>是</x:v>
      </x:c>
      <x:c r="D6" s="19" t="str">
        <x:v>锁定16张清单</x:v>
      </x:c>
      <x:c r="E6" s="20" t="str">
        <x:v>唯一恢复真实样本身份的字段</x:v>
      </x:c>
    </x:row>
    <x:row r="7">
      <x:c r="A7" s="18" t="str">
        <x:v>rater_id / measurement_round</x:v>
      </x:c>
      <x:c r="B7" s="19" t="str">
        <x:v>管理员层</x:v>
      </x:c>
      <x:c r="C7" s="19" t="str">
        <x:v>是</x:v>
      </x:c>
      <x:c r="D7" s="19" t="str">
        <x:v>R1/1, R1/2, R2/1</x:v>
      </x:c>
      <x:c r="E7" s="20" t="str">
        <x:v>R2推荐16，最低Core12</x:v>
      </x:c>
    </x:row>
    <x:row r="8">
      <x:c r="A8" s="18" t="str">
        <x:v>image_alias</x:v>
      </x:c>
      <x:c r="B8" s="19" t="str">
        <x:v>管理员层</x:v>
      </x:c>
      <x:c r="C8" s="19" t="str">
        <x:v>是</x:v>
      </x:c>
      <x:c r="D8" s="19" t="str">
        <x:v>&lt;blind_id&gt;.png</x:v>
      </x:c>
      <x:c r="E8" s="20" t="str">
        <x:v>测量包只见alias</x:v>
      </x:c>
    </x:row>
    <x:row r="9">
      <x:c r="A9" s="18" t="str">
        <x:v>randomized_order / package_id</x:v>
      </x:c>
      <x:c r="B9" s="19" t="str">
        <x:v>管理员层</x:v>
      </x:c>
      <x:c r="C9" s="19" t="str">
        <x:v>是</x:v>
      </x:c>
      <x:c r="D9" s="19" t="str">
        <x:v>每包独立随机</x:v>
      </x:c>
      <x:c r="E9" s="20" t="str">
        <x:v>R1两轮不复用顺序</x:v>
      </x:c>
    </x:row>
    <x:row r="10">
      <x:c r="A10" s="18" t="str">
        <x:v>adjudication_pair_id</x:v>
      </x:c>
      <x:c r="B10" s="19" t="str">
        <x:v>管理员层</x:v>
      </x:c>
      <x:c r="C10" s="19" t="str">
        <x:v>裁决时</x:v>
      </x:c>
      <x:c r="D10" s="19" t="str">
        <x:v>独立随机opaque ID</x:v>
      </x:c>
      <x:c r="E10" s="20" t="str">
        <x:v>只用于匿名技术配对，不输出dataset_id</x:v>
      </x:c>
    </x:row>
    <x:row r="11">
      <x:c r="A11" s="21" t="str">
        <x:v>mapping_sha256</x:v>
      </x:c>
      <x:c r="B11" s="22" t="str">
        <x:v>管理员层</x:v>
      </x:c>
      <x:c r="C11" s="22" t="str">
        <x:v>是</x:v>
      </x:c>
      <x:c r="D11" s="22" t="str">
        <x:v>SHA-256</x:v>
      </x:c>
      <x:c r="E11" s="23" t="str">
        <x:v>映射冻结审计</x:v>
      </x:c>
    </x:row>
    <x:row r="13" ht="52" customHeight="1">
      <x:c r="A13" s="32" t="str">
        <x:v>CSV文件：blind_id_admin_mapping_schema.csv（仅表头；实际映射不提交Git、不进入测量包）。</x:v>
      </x:c>
    </x:row>
  </x:sheetData>
  <x:mergeCells>
    <x:mergeCell ref="A1:E1"/>
    <x:mergeCell ref="A2:E2"/>
    <x:mergeCell ref="A13:E1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15" hidden="0" customWidth="1"/>
    <x:col min="4" max="4" width="42" hidden="0" customWidth="1"/>
    <x:col min="5" max="5" width="55" hidden="0" customWidth="1"/>
  </x:cols>
  <x:sheetData>
    <x:row r="1" ht="30" customHeight="1">
      <x:c r="A1" s="3" t="str">
        <x:v>GT冻结后的解盲人工参考 schema</x:v>
      </x:c>
    </x:row>
    <x:row r="2" ht="38" customHeight="1">
      <x:c r="A2" s="7" t="str">
        <x:v>全部人工记录和裁决冻结后，管理员才合并dataset_id与物理换算；方法输出仍在下一层。</x:v>
      </x:c>
    </x:row>
    <x:row r="4">
      <x:c r="A4" s="12" t="str">
        <x:v>字段</x:v>
      </x:c>
      <x:c r="B4" s="12" t="str">
        <x:v>层级</x:v>
      </x:c>
      <x:c r="C4" s="12" t="str">
        <x:v>是否必填</x:v>
      </x:c>
      <x:c r="D4" s="12" t="str">
        <x:v>允许值/计算</x:v>
      </x:c>
      <x:c r="E4" s="12" t="str">
        <x:v>泄漏与用途说明</x:v>
      </x:c>
    </x:row>
    <x:row r="5">
      <x:c r="A5" s="15" t="str">
        <x:v>dataset_id / pilot_group</x:v>
      </x:c>
      <x:c r="B5" s="16" t="str">
        <x:v>解盲GT层</x:v>
      </x:c>
      <x:c r="C5" s="16" t="str">
        <x:v>是</x:v>
      </x:c>
      <x:c r="D5" s="16" t="str">
        <x:v>管理员映射恢复</x:v>
      </x:c>
      <x:c r="E5" s="17" t="str">
        <x:v>Core与Diagnostic统计分离</x:v>
      </x:c>
    </x:row>
    <x:row r="6">
      <x:c r="A6" s="18" t="str">
        <x:v>leaf_exists</x:v>
      </x:c>
      <x:c r="B6" s="19" t="str">
        <x:v>解盲GT层</x:v>
      </x:c>
      <x:c r="C6" s="19" t="str">
        <x:v>派生</x:v>
      </x:c>
      <x:c r="D6" s="19" t="str">
        <x:v>yes | uncertain</x:v>
      </x:c>
      <x:c r="E6" s="20" t="str">
        <x:v>不是页面预填值</x:v>
      </x:c>
    </x:row>
    <x:row r="7">
      <x:c r="A7" s="18" t="str">
        <x:v>source_dpi / resize_scale</x:v>
      </x:c>
      <x:c r="B7" s="19" t="str">
        <x:v>解盲GT层</x:v>
      </x:c>
      <x:c r="C7" s="19" t="str">
        <x:v>是</x:v>
      </x:c>
      <x:c r="D7" s="19" t="str">
        <x:v>锁定selection metadata</x:v>
      </x:c>
      <x:c r="E7" s="20" t="str">
        <x:v>不进入测量者原始层</x:v>
      </x:c>
    </x:row>
    <x:row r="8">
      <x:c r="A8" s="18" t="str">
        <x:v>structural_path_length_mm_metadata</x:v>
      </x:c>
      <x:c r="B8" s="19" t="str">
        <x:v>解盲GT层</x:v>
      </x:c>
      <x:c r="C8" s="19" t="str">
        <x:v>计算</x:v>
      </x:c>
      <x:c r="D8" s="19" t="str">
        <x:v>px*mm_per_output_px</x:v>
      </x:c>
      <x:c r="E8" s="20" t="str">
        <x:v>必须标注derived from scanner metadata</x:v>
      </x:c>
    </x:row>
    <x:row r="9">
      <x:c r="A9" s="18" t="str">
        <x:v>scale_provenance / scale_label</x:v>
      </x:c>
      <x:c r="B9" s="19" t="str">
        <x:v>解盲GT层</x:v>
      </x:c>
      <x:c r="C9" s="19" t="str">
        <x:v>是</x:v>
      </x:c>
      <x:c r="D9" s="19" t="str">
        <x:v>scanner_metadata_600dpi</x:v>
      </x:c>
      <x:c r="E9" s="20" t="str">
        <x:v>实物标尺校验前固定</x:v>
      </x:c>
    </x:row>
    <x:row r="10">
      <x:c r="A10" s="18" t="str">
        <x:v>record_role</x:v>
      </x:c>
      <x:c r="B10" s="19" t="str">
        <x:v>解盲GT层</x:v>
      </x:c>
      <x:c r="C10" s="19" t="str">
        <x:v>是</x:v>
      </x:c>
      <x:c r="D10" s="19" t="str">
        <x:v>raw_r1 | raw_r2 | adjudicated</x:v>
      </x:c>
      <x:c r="E10" s="20" t="str">
        <x:v>裁决不覆盖原始值</x:v>
      </x:c>
    </x:row>
    <x:row r="11">
      <x:c r="A11" s="21" t="str">
        <x:v>gt_freeze_sha256</x:v>
      </x:c>
      <x:c r="B11" s="22" t="str">
        <x:v>解盲GT层</x:v>
      </x:c>
      <x:c r="C11" s="22" t="str">
        <x:v>冻结时</x:v>
      </x:c>
      <x:c r="D11" s="22" t="str">
        <x:v>SHA-256</x:v>
      </x:c>
      <x:c r="E11" s="23" t="str">
        <x:v>此后才允许方法比较</x:v>
      </x:c>
    </x:row>
    <x:row r="13" ht="52" customHeight="1">
      <x:c r="A13" s="32" t="str">
        <x:v>CSV文件：manual_phenotype_reference_deblinded_schema.csv（仅表头）。</x:v>
      </x:c>
    </x:row>
  </x:sheetData>
  <x:mergeCells>
    <x:mergeCell ref="A1:E1"/>
    <x:mergeCell ref="A2:E2"/>
    <x:mergeCell ref="A13:E1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15" hidden="0" customWidth="1"/>
    <x:col min="4" max="4" width="42" hidden="0" customWidth="1"/>
    <x:col min="5" max="5" width="55" hidden="0" customWidth="1"/>
  </x:cols>
  <x:sheetData>
    <x:row r="1" ht="30" customHeight="1">
      <x:c r="A1" s="3" t="str">
        <x:v>方法—GT匹配 schema</x:v>
      </x:c>
    </x:row>
    <x:row r="2" ht="38" customHeight="1">
      <x:c r="A2" s="7" t="str">
        <x:v>GT冻结和解盲后由脚本生成；Teacher-direct、Student-B、Student-D不得反写人工表。</x:v>
      </x:c>
    </x:row>
    <x:row r="4">
      <x:c r="A4" s="12" t="str">
        <x:v>字段</x:v>
      </x:c>
      <x:c r="B4" s="12" t="str">
        <x:v>层级</x:v>
      </x:c>
      <x:c r="C4" s="12" t="str">
        <x:v>是否必填</x:v>
      </x:c>
      <x:c r="D4" s="12" t="str">
        <x:v>允许值/计算</x:v>
      </x:c>
      <x:c r="E4" s="12" t="str">
        <x:v>泄漏与用途说明</x:v>
      </x:c>
    </x:row>
    <x:row r="5">
      <x:c r="A5" s="15" t="str">
        <x:v>method_id</x:v>
      </x:c>
      <x:c r="B5" s="16" t="str">
        <x:v>方法评价层</x:v>
      </x:c>
      <x:c r="C5" s="16" t="str">
        <x:v>是</x:v>
      </x:c>
      <x:c r="D5" s="16" t="str">
        <x:v>teacher_direct | student_B | student_D</x:v>
      </x:c>
      <x:c r="E5" s="17" t="str">
        <x:v>仅冻结三方法</x:v>
      </x:c>
    </x:row>
    <x:row r="6">
      <x:c r="A6" s="18" t="str">
        <x:v>match_status</x:v>
      </x:c>
      <x:c r="B6" s="19" t="str">
        <x:v>方法评价层</x:v>
      </x:c>
      <x:c r="C6" s="19" t="str">
        <x:v>是</x:v>
      </x:c>
      <x:c r="D6" s="19" t="str">
        <x:v>matched | missed_gt | extra_prediction | ambiguous</x:v>
      </x:c>
      <x:c r="E6" s="20" t="str">
        <x:v>一对一匹配</x:v>
      </x:c>
    </x:row>
    <x:row r="7">
      <x:c r="A7" s="18" t="str">
        <x:v>structural_path_length_*</x:v>
      </x:c>
      <x:c r="B7" s="19" t="str">
        <x:v>方法评价层</x:v>
      </x:c>
      <x:c r="C7" s="19" t="str">
        <x:v>可测匹配</x:v>
      </x:c>
      <x:c r="D7" s="19" t="str">
        <x:v>px, bbox_norm, metadata_mm, APE</x:v>
      </x:c>
      <x:c r="E7" s="20" t="str">
        <x:v>禁止字段名leaf_length</x:v>
      </x:c>
    </x:row>
    <x:row r="8">
      <x:c r="A8" s="18" t="str">
        <x:v>scale_label</x:v>
      </x:c>
      <x:c r="B8" s="19" t="str">
        <x:v>方法评价层</x:v>
      </x:c>
      <x:c r="C8" s="19" t="str">
        <x:v>mm时必填</x:v>
      </x:c>
      <x:c r="D8" s="19" t="str">
        <x:v>derived from scanner metadata</x:v>
      </x:c>
      <x:c r="E8" s="20" t="str">
        <x:v>标尺校准前不得省略</x:v>
      </x:c>
    </x:row>
    <x:row r="9">
      <x:c r="A9" s="18" t="str">
        <x:v>angle_abs_error_deg</x:v>
      </x:c>
      <x:c r="B9" s="19" t="str">
        <x:v>方法评价层</x:v>
      </x:c>
      <x:c r="C9" s="19" t="str">
        <x:v>非主路径匹配</x:v>
      </x:c>
      <x:c r="D9" s="19" t="str">
        <x:v>degree</x:v>
      </x:c>
      <x:c r="E9" s="20" t="str">
        <x:v>主路径不填0</x:v>
      </x:c>
    </x:row>
    <x:row r="10">
      <x:c r="A10" s="18" t="str">
        <x:v>curvature_* / curvature_role</x:v>
      </x:c>
      <x:c r="B10" s="19" t="str">
        <x:v>方法评价层</x:v>
      </x:c>
      <x:c r="C10" s="19" t="str">
        <x:v>探索</x:v>
      </x:c>
      <x:c r="D10" s="19" t="str">
        <x:v>exploratory</x:v>
      </x:c>
      <x:c r="E10" s="20" t="str">
        <x:v>不得单独淘汰方法</x:v>
      </x:c>
    </x:row>
    <x:row r="11">
      <x:c r="A11" s="21" t="str">
        <x:v>matched/missed/extra</x:v>
      </x:c>
      <x:c r="B11" s="22" t="str">
        <x:v>方法评价层</x:v>
      </x:c>
      <x:c r="C11" s="22" t="str">
        <x:v>是</x:v>
      </x:c>
      <x:c r="D11" s="22" t="str">
        <x:v>count</x:v>
      </x:c>
      <x:c r="E11" s="23" t="str">
        <x:v>不能只报成功匹配误差</x:v>
      </x:c>
    </x:row>
    <x:row r="13" ht="52" customHeight="1">
      <x:c r="A13" s="32" t="str">
        <x:v>CSV文件：phenotype_method_evaluation_template.csv（仅表头）。</x:v>
      </x:c>
    </x:row>
  </x:sheetData>
  <x:mergeCells>
    <x:mergeCell ref="A1:E1"/>
    <x:mergeCell ref="A2:E2"/>
    <x:mergeCell ref="A13:E1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15" hidden="0" customWidth="1"/>
    <x:col min="4" max="4" width="42" hidden="0" customWidth="1"/>
    <x:col min="5" max="5" width="55" hidden="0" customWidth="1"/>
  </x:cols>
  <x:sheetData>
    <x:row r="1" ht="30" customHeight="1">
      <x:c r="A1" s="3" t="str">
        <x:v>Plant-level paired error schema</x:v>
      </x:c>
    </x:row>
    <x:row r="2" ht="38" customHeight="1">
      <x:c r="A2" s="7" t="str">
        <x:v>统计单位为plant；Core 12作主要比较，Diagnostic 4只逐例解释。</x:v>
      </x:c>
    </x:row>
    <x:row r="4">
      <x:c r="A4" s="12" t="str">
        <x:v>字段</x:v>
      </x:c>
      <x:c r="B4" s="12" t="str">
        <x:v>层级</x:v>
      </x:c>
      <x:c r="C4" s="12" t="str">
        <x:v>是否必填</x:v>
      </x:c>
      <x:c r="D4" s="12" t="str">
        <x:v>允许值/计算</x:v>
      </x:c>
      <x:c r="E4" s="12" t="str">
        <x:v>泄漏与用途说明</x:v>
      </x:c>
    </x:row>
    <x:row r="5">
      <x:c r="A5" s="15" t="str">
        <x:v>leaf_recall</x:v>
      </x:c>
      <x:c r="B5" s="16" t="str">
        <x:v>植株评价层</x:v>
      </x:c>
      <x:c r="C5" s="16" t="str">
        <x:v>是</x:v>
      </x:c>
      <x:c r="D5" s="16" t="str">
        <x:v>matched/measurable_gt</x:v>
      </x:c>
      <x:c r="E5" s="17" t="str">
        <x:v>漏叶惩罚</x:v>
      </x:c>
    </x:row>
    <x:row r="6">
      <x:c r="A6" s="18" t="str">
        <x:v>path_precision</x:v>
      </x:c>
      <x:c r="B6" s="19" t="str">
        <x:v>植株评价层</x:v>
      </x:c>
      <x:c r="C6" s="19" t="str">
        <x:v>是</x:v>
      </x:c>
      <x:c r="D6" s="19" t="str">
        <x:v>matched/all_predictions</x:v>
      </x:c>
      <x:c r="E6" s="20" t="str">
        <x:v>假枝惩罚</x:v>
      </x:c>
    </x:row>
    <x:row r="7">
      <x:c r="A7" s="18" t="str">
        <x:v>total_structural_path_length_ape</x:v>
      </x:c>
      <x:c r="B7" s="19" t="str">
        <x:v>植株评价层</x:v>
      </x:c>
      <x:c r="C7" s="19" t="str">
        <x:v>是</x:v>
      </x:c>
      <x:c r="D7" s="19" t="str">
        <x:v>|sum_pred-sum_gt|/sum_gt</x:v>
      </x:c>
      <x:c r="E7" s="20" t="str">
        <x:v>须与召回/精确率联合解释</x:v>
      </x:c>
    </x:row>
    <x:row r="8">
      <x:c r="A8" s="18" t="str">
        <x:v>matched_structural_path_length_mdape</x:v>
      </x:c>
      <x:c r="B8" s="19" t="str">
        <x:v>植株评价层</x:v>
      </x:c>
      <x:c r="C8" s="19" t="str">
        <x:v>是</x:v>
      </x:c>
      <x:c r="D8" s="19" t="str">
        <x:v>matched路径APE中位数</x:v>
      </x:c>
      <x:c r="E8" s="20" t="str">
        <x:v>正式名称一致</x:v>
      </x:c>
    </x:row>
    <x:row r="9">
      <x:c r="A9" s="18" t="str">
        <x:v>matched_angle_mae_deg</x:v>
      </x:c>
      <x:c r="B9" s="19" t="str">
        <x:v>植株评价层</x:v>
      </x:c>
      <x:c r="C9" s="19" t="str">
        <x:v>可评价时</x:v>
      </x:c>
      <x:c r="D9" s="19" t="str">
        <x:v>degree</x:v>
      </x:c>
      <x:c r="E9" s="20" t="str">
        <x:v>长度与角度分开</x:v>
      </x:c>
    </x:row>
    <x:row r="10">
      <x:c r="A10" s="18" t="str">
        <x:v>matched_curvature_mae_*</x:v>
      </x:c>
      <x:c r="B10" s="19" t="str">
        <x:v>植株评价层</x:v>
      </x:c>
      <x:c r="C10" s="19" t="str">
        <x:v>探索</x:v>
      </x:c>
      <x:c r="D10" s="19" t="str">
        <x:v>exploratory</x:v>
      </x:c>
      <x:c r="E10" s="20" t="str">
        <x:v>不设淘汰标准</x:v>
      </x:c>
    </x:row>
    <x:row r="11">
      <x:c r="A11" s="21" t="str">
        <x:v>include_in_core_summary</x:v>
      </x:c>
      <x:c r="B11" s="22" t="str">
        <x:v>植株评价层</x:v>
      </x:c>
      <x:c r="C11" s="22" t="str">
        <x:v>是</x:v>
      </x:c>
      <x:c r="D11" s="22" t="str">
        <x:v>1仅Core</x:v>
      </x:c>
      <x:c r="E11" s="23" t="str">
        <x:v>Diagnostic不得混入Core平均</x:v>
      </x:c>
    </x:row>
    <x:row r="13" ht="52" customHeight="1">
      <x:c r="A13" s="32" t="str">
        <x:v>CSV文件：phenotype_plant_summary_template.csv（仅表头）。</x:v>
      </x:c>
    </x:row>
  </x:sheetData>
  <x:mergeCells>
    <x:mergeCell ref="A1:E1"/>
    <x:mergeCell ref="A2:E2"/>
    <x:mergeCell ref="A13:E1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6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0" customHeight="1">
      <x:c r="A1" s="3" t="str">
        <x:v>MDC95 与可靠性规则（测量前锁定）</x:v>
      </x:c>
    </x:row>
    <x:row r="2" ht="38" customHeight="1">
      <x:c r="A2" s="7" t="str">
        <x:v>长度与角度分别计算；示例数值仅用于验证公式，不是实验结果。</x:v>
      </x:c>
    </x:row>
    <x:row r="4">
      <x:c r="A4" s="12" t="str">
        <x:v>对象</x:v>
      </x:c>
      <x:c r="B4" s="12" t="str">
        <x:v>固定定义</x:v>
      </x:c>
      <x:c r="C4" s="12" t="str">
        <x:v>intra-rater</x:v>
      </x:c>
      <x:c r="D4" s="12" t="str">
        <x:v>inter-rater</x:v>
      </x:c>
      <x:c r="E4" s="12" t="str">
        <x:v>缺失处理</x:v>
      </x:c>
      <x:c r="F4" s="12" t="str">
        <x:v>ICC</x:v>
      </x:c>
      <x:c r="G4" s="12" t="str">
        <x:v>bootstrap</x:v>
      </x:c>
      <x:c r="H4" s="12" t="str">
        <x:v>决策用途</x:v>
      </x:c>
    </x:row>
    <x:row r="5">
      <x:c r="A5" s="15" t="str">
        <x:v>基部—叶尖结构路径长度</x:v>
      </x:c>
      <x:c r="B5" s="16" t="str">
        <x:v>px、bbox_norm、metadata_mm、对称相对差</x:v>
      </x:c>
      <x:c r="C5" s="16" t="str">
        <x:v>R1 round2 - round1</x:v>
      </x:c>
      <x:c r="D5" s="16" t="str">
        <x:v>R2 round1 - R1 round1</x:v>
      </x:c>
      <x:c r="E5" s="16" t="str">
        <x:v>endpoint成对排除；不插补</x:v>
      </x:c>
      <x:c r="F5" s="16" t="str">
        <x:v>ICC(A,1) absolute agreement</x:v>
      </x:c>
      <x:c r="G5" s="16" t="str">
        <x:v>cluster=plant</x:v>
      </x:c>
      <x:c r="H5" s="17" t="str">
        <x:v>取max(MDC95_intra, inter)</x:v>
      </x:c>
    </x:row>
    <x:row r="6">
      <x:c r="A6" s="18" t="str">
        <x:v>分化角</x:v>
      </x:c>
      <x:c r="B6" s="19" t="str">
        <x:v>degree</x:v>
      </x:c>
      <x:c r="C6" s="19" t="str">
        <x:v>R1 round2 - round1</x:v>
      </x:c>
      <x:c r="D6" s="19" t="str">
        <x:v>R2 round1 - R1 round1</x:v>
      </x:c>
      <x:c r="E6" s="19" t="str">
        <x:v>endpoint成对排除；不插补</x:v>
      </x:c>
      <x:c r="F6" s="19" t="str">
        <x:v>ICC(A,1) absolute agreement</x:v>
      </x:c>
      <x:c r="G6" s="19" t="str">
        <x:v>cluster=plant</x:v>
      </x:c>
      <x:c r="H6" s="20" t="str">
        <x:v>取max(MDC95_intra, inter)</x:v>
      </x:c>
    </x:row>
    <x:row r="7">
      <x:c r="A7" s="21" t="str">
        <x:v>曲率</x:v>
      </x:c>
      <x:c r="B7" s="22" t="str">
        <x:v>exploratory</x:v>
      </x:c>
      <x:c r="C7" s="22" t="str">
        <x:v>描述性</x:v>
      </x:c>
      <x:c r="D7" s="22" t="str">
        <x:v>描述性</x:v>
      </x:c>
      <x:c r="E7" s="22" t="str">
        <x:v>报告有效对数</x:v>
      </x:c>
      <x:c r="F7" s="22" t="str">
        <x:v>可描述</x:v>
      </x:c>
      <x:c r="G7" s="22" t="str">
        <x:v>cluster=plant</x:v>
      </x:c>
      <x:c r="H7" s="23" t="str">
        <x:v>无MDC95淘汰门槛</x:v>
      </x:c>
    </x:row>
    <x:row r="9">
      <x:c r="A9" s="12" t="str">
        <x:v>示例pair</x:v>
      </x:c>
      <x:c r="B9" s="12" t="str">
        <x:v>measurement_1</x:v>
      </x:c>
      <x:c r="C9" s="12" t="str">
        <x:v>measurement_2</x:v>
      </x:c>
      <x:c r="D9" s="12" t="str">
        <x:v>difference=2-1</x:v>
      </x:c>
      <x:c r="F9" s="12" t="str">
        <x:v>统计量</x:v>
      </x:c>
      <x:c r="G9" s="12" t="str">
        <x:v>公式结果</x:v>
      </x:c>
    </x:row>
    <x:row r="10">
      <x:c r="A10" s="15" t="str">
        <x:v>P01-T01</x:v>
      </x:c>
      <x:c r="B10" s="33" t="n">
        <x:v>100</x:v>
      </x:c>
      <x:c r="C10" s="33" t="n">
        <x:v>102</x:v>
      </x:c>
      <x:c r="D10" s="34" t="n">
        <x:f>C10-B10</x:f>
        <x:v>2</x:v>
      </x:c>
      <x:c r="F10" s="15" t="str">
        <x:v>bias</x:v>
      </x:c>
      <x:c r="G10" s="34" t="n">
        <x:f>AVERAGE(D10:D13)</x:f>
        <x:v>1</x:v>
      </x:c>
    </x:row>
    <x:row r="11">
      <x:c r="A11" s="18" t="str">
        <x:v>P02-T01</x:v>
      </x:c>
      <x:c r="B11" s="35" t="n">
        <x:v>120</x:v>
      </x:c>
      <x:c r="C11" s="35" t="n">
        <x:v>117</x:v>
      </x:c>
      <x:c r="D11" s="36" t="n">
        <x:f>C11-B11</x:f>
        <x:v>-3</x:v>
      </x:c>
      <x:c r="F11" s="18" t="str">
        <x:v>SD_diff</x:v>
      </x:c>
      <x:c r="G11" s="36" t="n">
        <x:f>STDEV.S(D10:D13)</x:f>
        <x:v>2.943920288775949</x:v>
      </x:c>
    </x:row>
    <x:row r="12">
      <x:c r="A12" s="18" t="str">
        <x:v>P03-T01</x:v>
      </x:c>
      <x:c r="B12" s="35" t="n">
        <x:v>150</x:v>
      </x:c>
      <x:c r="C12" s="35" t="n">
        <x:v>154</x:v>
      </x:c>
      <x:c r="D12" s="36" t="n">
        <x:f>C12-B12</x:f>
        <x:v>4</x:v>
      </x:c>
      <x:c r="F12" s="18" t="str">
        <x:v>SEM</x:v>
      </x:c>
      <x:c r="G12" s="36" t="n">
        <x:f>G11/SQRT(2)</x:f>
        <x:v>2.0816659994661326</x:v>
      </x:c>
    </x:row>
    <x:row r="13">
      <x:c r="A13" s="21" t="str">
        <x:v>P04-T01</x:v>
      </x:c>
      <x:c r="B13" s="37" t="n">
        <x:v>90</x:v>
      </x:c>
      <x:c r="C13" s="37" t="n">
        <x:v>91</x:v>
      </x:c>
      <x:c r="D13" s="38" t="n">
        <x:f>C13-B13</x:f>
        <x:v>1</x:v>
      </x:c>
      <x:c r="F13" s="18" t="str">
        <x:v>MDC95</x:v>
      </x:c>
      <x:c r="G13" s="36" t="n">
        <x:f>1.96*SQRT(2)*G12</x:f>
        <x:v>5.77008376600086</x:v>
      </x:c>
    </x:row>
    <x:row r="14">
      <x:c r="F14" s="18" t="str">
        <x:v>BA_lower</x:v>
      </x:c>
      <x:c r="G14" s="36" t="n">
        <x:f>G10-1.96*G11</x:f>
        <x:v>-4.77008376600086</x:v>
      </x:c>
    </x:row>
    <x:row r="15">
      <x:c r="F15" s="21" t="str">
        <x:v>BA_upper</x:v>
      </x:c>
      <x:c r="G15" s="38" t="n">
        <x:f>G10+1.96*G11</x:f>
        <x:v>6.77008376600086</x:v>
      </x:c>
    </x:row>
    <x:row r="17" ht="34" customHeight="1">
      <x:c r="A17" s="32" t="str">
        <x:v>主MDC95公式固定为 SDdiff/sqrt(2) 路线；SDpooled*sqrt(1-ICC) 只作预声明敏感性分析，不得测后择优。</x:v>
      </x:c>
    </x:row>
  </x:sheetData>
  <x:mergeCells>
    <x:mergeCell ref="A1:H1"/>
    <x:mergeCell ref="A2:H2"/>
    <x:mergeCell ref="A17:H1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52" hidden="0" customWidth="1"/>
    <x:col min="3" max="3" width="29" hidden="0" customWidth="1"/>
    <x:col min="4" max="4" width="29" hidden="0" customWidth="1"/>
    <x:col min="5" max="5" width="24" hidden="0" customWidth="1"/>
  </x:cols>
  <x:sheetData>
    <x:row r="1" ht="30" customHeight="1">
      <x:c r="A1" s="3" t="str">
        <x:v>模型盲 HTML 数据边界与验收</x:v>
      </x:c>
    </x:row>
    <x:row r="2" ht="38" customHeight="1">
      <x:c r="A2" s="7" t="str">
        <x:v>本页是实现前的硬门槛；全部通过后仍需用户确认才开始正式描迹。</x:v>
      </x:c>
    </x:row>
    <x:row r="4">
      <x:c r="A4" s="12" t="str">
        <x:v>检查项</x:v>
      </x:c>
      <x:c r="B4" s="12" t="str">
        <x:v>要求</x:v>
      </x:c>
      <x:c r="C4" s="12" t="str">
        <x:v>自动检查</x:v>
      </x:c>
      <x:c r="D4" s="12" t="str">
        <x:v>人工检查</x:v>
      </x:c>
      <x:c r="E4" s="12" t="str">
        <x:v>状态</x:v>
      </x:c>
    </x:row>
    <x:row r="5">
      <x:c r="A5" s="15" t="str">
        <x:v>页面初始状态</x:v>
      </x:c>
      <x:c r="B5" s="16" t="str">
        <x:v>叶片列表为空；不显示预期叶数；leaf_exists无默认值</x:v>
      </x:c>
      <x:c r="C5" s="16" t="str">
        <x:v>DOM/schema test</x:v>
      </x:c>
      <x:c r="D5" s="16" t="str">
        <x:v>打开任一页</x:v>
      </x:c>
      <x:c r="E5" s="39" t="str">
        <x:v>pending implementation</x:v>
      </x:c>
    </x:row>
    <x:row r="6">
      <x:c r="A6" s="18" t="str">
        <x:v>动态建轨</x:v>
      </x:c>
      <x:c r="B6" s="19" t="str">
        <x:v>添加叶片才创建trace_uuid；提交后才赋GT ID</x:v>
      </x:c>
      <x:c r="C6" s="19" t="str">
        <x:v>interaction test</x:v>
      </x:c>
      <x:c r="D6" s="19" t="str">
        <x:v>完整走通一株</x:v>
      </x:c>
      <x:c r="E6" s="40" t="str">
        <x:v>pending implementation</x:v>
      </x:c>
    </x:row>
    <x:row r="7">
      <x:c r="A7" s="18" t="str">
        <x:v>blind ID</x:v>
      </x:c>
      <x:c r="B7" s="19" t="str">
        <x:v>&gt;=12位密码学随机；图像×rater×round唯一</x:v>
      </x:c>
      <x:c r="C7" s="19" t="str">
        <x:v>collision/reuse test</x:v>
      </x:c>
      <x:c r="D7" s="19" t="str">
        <x:v>抽查文件名</x:v>
      </x:c>
      <x:c r="E7" s="40" t="str">
        <x:v>pending implementation</x:v>
      </x:c>
    </x:row>
    <x:row r="8">
      <x:c r="A8" s="18" t="str">
        <x:v>静态泄漏</x:v>
      </x:c>
      <x:c r="B8" s="19" t="str">
        <x:v>测量包中v4_val_/dataset_id/visible_leaf_count/方法名命中0</x:v>
      </x:c>
      <x:c r="C8" s="19" t="str">
        <x:v>recursive scan</x:v>
      </x:c>
      <x:c r="D8" s="19" t="str">
        <x:v>查看源码与导出</x:v>
      </x:c>
      <x:c r="E8" s="40" t="str">
        <x:v>pending implementation</x:v>
      </x:c>
    </x:row>
    <x:row r="9">
      <x:c r="A9" s="18" t="str">
        <x:v>原始导出</x:v>
      </x:c>
      <x:c r="B9" s="19" t="str">
        <x:v>不含dataset_id、分组、旧叶数和方法字段</x:v>
      </x:c>
      <x:c r="C9" s="19" t="str">
        <x:v>schema validation</x:v>
      </x:c>
      <x:c r="D9" s="19" t="str">
        <x:v>打开CSV/JSON</x:v>
      </x:c>
      <x:c r="E9" s="40" t="str">
        <x:v>pending implementation</x:v>
      </x:c>
    </x:row>
    <x:row r="10">
      <x:c r="A10" s="18" t="str">
        <x:v>主路径</x:v>
      </x:c>
      <x:c r="B10" s="19" t="str">
        <x:v>长度→弦长→极角→trace_uuid</x:v>
      </x:c>
      <x:c r="C10" s="19" t="str">
        <x:v>合成tie tests</x:v>
      </x:c>
      <x:c r="D10" s="19" t="str">
        <x:v>两rater同轨迹核对</x:v>
      </x:c>
      <x:c r="E10" s="40" t="str">
        <x:v>pending implementation</x:v>
      </x:c>
    </x:row>
    <x:row r="11">
      <x:c r="A11" s="18" t="str">
        <x:v>毫米换算</x:v>
      </x:c>
      <x:c r="B11" s="19" t="str">
        <x:v>只在管理员解盲层；固定标注derived from scanner metadata</x:v>
      </x:c>
      <x:c r="C11" s="19" t="str">
        <x:v>column/label test</x:v>
      </x:c>
      <x:c r="D11" s="19" t="str">
        <x:v>查看解盲GT</x:v>
      </x:c>
      <x:c r="E11" s="40" t="str">
        <x:v>pending implementation</x:v>
      </x:c>
    </x:row>
    <x:row r="12">
      <x:c r="A12" s="21" t="str">
        <x:v>模型隔离</x:v>
      </x:c>
      <x:c r="B12" s="22" t="str">
        <x:v>不读取Teacher/Student/Decoder输出；V4 test读取0</x:v>
      </x:c>
      <x:c r="C12" s="22" t="str">
        <x:v>input manifest audit</x:v>
      </x:c>
      <x:c r="D12" s="22" t="str">
        <x:v>目录审核</x:v>
      </x:c>
      <x:c r="E12" s="41" t="str">
        <x:v>pending implementation</x:v>
      </x:c>
    </x:row>
  </x:sheetData>
  <x:mergeCells>
    <x:mergeCell ref="A1:E1"/>
    <x:mergeCell ref="A2:E2"/>
  </x:mergeCells>
  <x:pageMargins left="0.7" right="0.7" top="0.75" bottom="0.75" header="0.3" footer="0.3"/>
</x:worksheet>
</file>