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a1801a4bd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协议摘要" sheetId="1" r:id="R7923ac7b91b54f3d"/>
    <x:sheet xmlns:r="http://schemas.openxmlformats.org/officeDocument/2006/relationships" name="01_样本清单" sheetId="2" r:id="Rdcd1f7014bd6402d"/>
    <x:sheet xmlns:r="http://schemas.openxmlformats.org/officeDocument/2006/relationships" name="02_人工GT工作表" sheetId="3" r:id="R5b48185355de4422"/>
    <x:sheet xmlns:r="http://schemas.openxmlformats.org/officeDocument/2006/relationships" name="03_方法匹配Schema" sheetId="4" r:id="Rb5ad828424c44e85"/>
    <x:sheet xmlns:r="http://schemas.openxmlformats.org/officeDocument/2006/relationships" name="04_植株配对Schema" sheetId="5" r:id="R703787f37ecb4175"/>
    <x:sheet xmlns:r="http://schemas.openxmlformats.org/officeDocument/2006/relationships" name="05_字段字典" sheetId="6" r:id="R6ac2423f343349d7"/>
    <x:sheet xmlns:r="http://schemas.openxmlformats.org/officeDocument/2006/relationships" name="06_决策规则" sheetId="7" r:id="Rbbb6875dc20b44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00"/>
    <x:numFmt numFmtId="202" formatCode="0.00"/>
    <x:numFmt numFmtId="203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6666"/>
      <x:name val="Carlito"/>
    </x:font>
    <x:font>
      <x:b/>
      <x:sz val="11"/>
      <x:color rgb="FF17365D"/>
      <x:name val="Carlito"/>
    </x:font>
    <x:font>
      <x:sz val="11"/>
      <x:color rgb="FF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CE6F1"/>
      </x:patternFill>
    </x:fill>
  </x:fills>
  <x:borders count="11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right style="thin">
        <x:color rgb="FFD9E2F3"/>
      </x:right>
      <x:top style="thin">
        <x:color rgb="FFB4C6E7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B4C6E7"/>
      </x:top>
      <x:bottom style="thin">
        <x:color rgb="FFD9E2F3"/>
      </x:bottom>
    </x:border>
    <x:border>
      <x:left style="thin">
        <x:color rgb="FFD9E2F3"/>
      </x:left>
      <x:right style="thin">
        <x:color rgb="FFB4C6E7"/>
      </x:right>
      <x:top style="thin">
        <x:color rgb="FFB4C6E7"/>
      </x:top>
      <x:bottom style="thin">
        <x:color rgb="FFD9E2F3"/>
      </x:bottom>
    </x:border>
    <x:border>
      <x:left style="thin">
        <x:color rgb="FFB4C6E7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B4C6E7"/>
      </x:right>
      <x:top style="thin">
        <x:color rgb="FFD9E2F3"/>
      </x:top>
      <x:bottom style="thin">
        <x:color rgb="FFD9E2F3"/>
      </x:bottom>
    </x:border>
    <x:border>
      <x:left style="thin">
        <x:color rgb="FFB4C6E7"/>
      </x:left>
      <x:right style="thin">
        <x:color rgb="FFD9E2F3"/>
      </x:right>
      <x:top style="thin">
        <x:color rgb="FFD9E2F3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B4C6E7"/>
      </x:bottom>
    </x:border>
    <x:border>
      <x:left style="thin">
        <x:color rgb="FFD9E2F3"/>
      </x:left>
      <x:right style="thin">
        <x:color rgb="FFB4C6E7"/>
      </x:right>
      <x:top style="thin">
        <x:color rgb="FFD9E2F3"/>
      </x:top>
      <x:bottom style="thin">
        <x:color rgb="FFB4C6E7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0" fillId="0" borderId="0" xfId="0" applyNumberFormat="1" applyFont="1" applyFill="1" applyBorder="1"/>
    <x:xf numFmtId="203" fontId="4" fillId="0" borderId="0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EAF2F8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0d1df7058a428a" /><Relationship Type="http://schemas.openxmlformats.org/officeDocument/2006/relationships/theme" Target="/xl/theme/theme1.xml" Id="R2f07b35e26e24ec9" /><Relationship Type="http://schemas.openxmlformats.org/officeDocument/2006/relationships/sharedStrings" Target="/xl/sharedStrings.xml" Id="R0a252384fcf24a96" /><Relationship Type="http://schemas.openxmlformats.org/officeDocument/2006/relationships/worksheet" Target="/xl/worksheets/sheet1.xml" Id="R7923ac7b91b54f3d" /><Relationship Type="http://schemas.openxmlformats.org/officeDocument/2006/relationships/worksheet" Target="/xl/worksheets/sheet2.xml" Id="Rdcd1f7014bd6402d" /><Relationship Type="http://schemas.openxmlformats.org/officeDocument/2006/relationships/worksheet" Target="/xl/worksheets/sheet3.xml" Id="R5b48185355de4422" /><Relationship Type="http://schemas.openxmlformats.org/officeDocument/2006/relationships/worksheet" Target="/xl/worksheets/sheet4.xml" Id="Rb5ad828424c44e85" /><Relationship Type="http://schemas.openxmlformats.org/officeDocument/2006/relationships/worksheet" Target="/xl/worksheets/sheet5.xml" Id="R703787f37ecb4175" /><Relationship Type="http://schemas.openxmlformats.org/officeDocument/2006/relationships/worksheet" Target="/xl/worksheets/sheet6.xml" Id="R6ac2423f343349d7" /><Relationship Type="http://schemas.openxmlformats.org/officeDocument/2006/relationships/worksheet" Target="/xl/worksheets/sheet7.xml" Id="Rbbb6875dc20b44c0" /></Relationships>
</file>

<file path=xl/tables/table1.xml><?xml version="1.0" encoding="utf-8"?>
<x:table xmlns:x="http://schemas.openxmlformats.org/spreadsheetml/2006/main" id="1" name="PilotSamplesTable" displayName="PilotSamplesTable" ref="A4:M20" headerRowCount="1" totalsRowCount="0" totalsRowShown="0">
  <x:tableColumns count="13">
    <x:tableColumn id="1" name="dataset_id"/>
    <x:tableColumn id="2" name="pilot_group"/>
    <x:tableColumn id="3" name="source_frame_id"/>
    <x:tableColumn id="4" name="acquisition_period"/>
    <x:tableColumn id="5" name="orientation"/>
    <x:tableColumn id="6" name="visible_leaf_count_postlock"/>
    <x:tableColumn id="7" name="source_dpi"/>
    <x:tableColumn id="8" name="resize_scale"/>
    <x:tableColumn id="9" name="mm_per_output_px"/>
    <x:tableColumn id="10" name="selection_basis"/>
    <x:tableColumn id="11" name="selection_reason"/>
    <x:tableColumn id="12" name="image_path"/>
    <x:tableColumn id="13" name="approval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nualReferenceTable" displayName="ManualReferenceTable" ref="A4:AJ89" headerRowCount="1" totalsRowCount="0" totalsRowShown="0">
  <x:tableColumns count="36">
    <x:tableColumn id="1" name="protocol_version"/>
    <x:tableColumn id="2" name="dataset_id"/>
    <x:tableColumn id="3" name="pilot_group"/>
    <x:tableColumn id="4" name="blind_id"/>
    <x:tableColumn id="5" name="rater_id"/>
    <x:tableColumn id="6" name="measurement_round"/>
    <x:tableColumn id="7" name="measurement_date"/>
    <x:tableColumn id="8" name="gt_leaf_id"/>
    <x:tableColumn id="9" name="leaf_exists"/>
    <x:tableColumn id="10" name="visibility_status"/>
    <x:tableColumn id="11" name="trace_status"/>
    <x:tableColumn id="12" name="basal_transition_status"/>
    <x:tableColumn id="13" name="start_x_px"/>
    <x:tableColumn id="14" name="start_y_px"/>
    <x:tableColumn id="15" name="tip_x_px"/>
    <x:tableColumn id="16" name="tip_y_px"/>
    <x:tableColumn id="17" name="trace_file"/>
    <x:tableColumn id="18" name="length_px"/>
    <x:tableColumn id="19" name="source_dpi"/>
    <x:tableColumn id="20" name="resize_scale"/>
    <x:tableColumn id="21" name="mm_per_output_px"/>
    <x:tableColumn id="22" name="length_mm"/>
    <x:tableColumn id="23" name="shoot_bbox_diag_px"/>
    <x:tableColumn id="24" name="length_bbox_norm"/>
    <x:tableColumn id="25" name="reference_main_path"/>
    <x:tableColumn id="26" name="divergence_point_x_px"/>
    <x:tableColumn id="27" name="divergence_point_y_px"/>
    <x:tableColumn id="28" name="local_interval_px"/>
    <x:tableColumn id="29" name="divergence_angle_deg"/>
    <x:tableColumn id="30" name="total_turning_angle_deg"/>
    <x:tableColumn id="31" name="mean_abs_curvature_mm_inv"/>
    <x:tableColumn id="32" name="occlusion_grade"/>
    <x:tableColumn id="33" name="interpolation_used"/>
    <x:tableColumn id="34" name="confidence"/>
    <x:tableColumn id="35" name="evaluation_only_no_training"/>
    <x:tableColumn id="3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6425e13f8f4c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2b9b3f00fb40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30" customHeight="1">
      <x:c r="A1" s="3" t="str">
        <x:v>Phenotype-first 人工参考协议（待审核）</x:v>
      </x:c>
    </x:row>
    <x:row r="2" ht="34" customHeight="1">
      <x:c r="A2" s="6" t="str">
        <x:v>只设计选样、人工GT、测量和统计；不训练、不改模型、不读取V4 test。</x:v>
      </x:c>
    </x:row>
    <x:row r="4">
      <x:c r="A4" s="14" t="str">
        <x:v>项目</x:v>
      </x:c>
      <x:c r="B4" s="15" t="str">
        <x:v>当前锁定内容</x:v>
      </x:c>
      <x:c r="C4" s="15" t="str">
        <x:v>审核状态</x:v>
      </x:c>
      <x:c r="D4" s="15" t="str">
        <x:v>不能推出的结论</x:v>
      </x:c>
      <x:c r="E4" s="15" t="str">
        <x:v>下一动作</x:v>
      </x:c>
      <x:c r="F4" s="16" t="str">
        <x:v>责任边界</x:v>
      </x:c>
    </x:row>
    <x:row r="5">
      <x:c r="A5" s="17" t="str">
        <x:v>Primary Student</x:v>
      </x:c>
      <x:c r="B5" s="18" t="str">
        <x:v>B = Route B Teacher + local decoder</x:v>
      </x:c>
      <x:c r="C5" s="18" t="str">
        <x:v>frozen candidate</x:v>
      </x:c>
      <x:c r="D5" s="18" t="str">
        <x:v>尚未证明表型更准</x:v>
      </x:c>
      <x:c r="E5" s="18" t="str">
        <x:v>与Teacher-direct和D比较</x:v>
      </x:c>
      <x:c r="F5" s="19" t="str">
        <x:v>人工GT只评价</x:v>
      </x:c>
    </x:row>
    <x:row r="6">
      <x:c r="A6" s="17" t="str">
        <x:v>Frozen comparator</x:v>
      </x:c>
      <x:c r="B6" s="18" t="str">
        <x:v>D = enhanced Teacher + local decoder</x:v>
      </x:c>
      <x:c r="C6" s="18" t="str">
        <x:v>一次性对照</x:v>
      </x:c>
      <x:c r="D6" s="18" t="str">
        <x:v>不得继续开发C/D</x:v>
      </x:c>
      <x:c r="E6" s="18" t="str">
        <x:v>仅完成一次表型比较</x:v>
      </x:c>
      <x:c r="F6" s="19" t="str">
        <x:v>不调阈值</x:v>
      </x:c>
    </x:row>
    <x:row r="7">
      <x:c r="A7" s="17" t="str">
        <x:v>Core</x:v>
      </x:c>
      <x:c r="B7" s="18" t="str">
        <x:v>12张形态分层</x:v>
      </x:c>
      <x:c r="C7" s="18" t="str">
        <x:v>候选待批准</x:v>
      </x:c>
      <x:c r="D7" s="18" t="str">
        <x:v>不是独立test</x:v>
      </x:c>
      <x:c r="E7" s="18" t="str">
        <x:v>单独汇总</x:v>
      </x:c>
      <x:c r="F7" s="19" t="str">
        <x:v>不按模型表现选样</x:v>
      </x:c>
    </x:row>
    <x:row r="8">
      <x:c r="A8" s="17" t="str">
        <x:v>Diagnostic</x:v>
      </x:c>
      <x:c r="B8" s="18" t="str">
        <x:v>4张冻结分歧样本</x:v>
      </x:c>
      <x:c r="C8" s="18" t="str">
        <x:v>候选待批准</x:v>
      </x:c>
      <x:c r="D8" s="18" t="str">
        <x:v>不得与Core混合平均</x:v>
      </x:c>
      <x:c r="E8" s="18" t="str">
        <x:v>逐例解释</x:v>
      </x:c>
      <x:c r="F8" s="19" t="str">
        <x:v>可按失败类型选样</x:v>
      </x:c>
    </x:row>
    <x:row r="9">
      <x:c r="A9" s="20" t="str">
        <x:v>Primary endpoints</x:v>
      </x:c>
      <x:c r="B9" s="21" t="str">
        <x:v>路径长度、叶片分化角</x:v>
      </x:c>
      <x:c r="C9" s="21" t="str">
        <x:v>待建立GT</x:v>
      </x:c>
      <x:c r="D9" s="21" t="str">
        <x:v>曲率不能单独裁决</x:v>
      </x:c>
      <x:c r="E9" s="21" t="str">
        <x:v>先做人工重复性</x:v>
      </x:c>
      <x:c r="F9" s="22" t="str">
        <x:v>plant为独立单位</x:v>
      </x:c>
    </x:row>
    <x:row r="11">
      <x:c r="A11" s="11" t="str">
        <x:v>确认项</x:v>
      </x:c>
      <x:c r="B11" s="11" t="str">
        <x:v>待用户选择</x:v>
      </x:c>
    </x:row>
    <x:row r="12">
      <x:c r="A12" s="12" t="str">
        <x:v>16张候选</x:v>
      </x:c>
      <x:c r="B12" s="12" t="str">
        <x:v>接受 / 调整</x:v>
      </x:c>
    </x:row>
    <x:row r="13">
      <x:c r="A13" s="12" t="str">
        <x:v>长度定义</x:v>
      </x:c>
      <x:c r="B13" s="12" t="str">
        <x:v>共同地上部基点到叶尖</x:v>
      </x:c>
    </x:row>
    <x:row r="14">
      <x:c r="A14" s="12" t="str">
        <x:v>物理单位</x:v>
      </x:c>
      <x:c r="B14" s="12" t="str">
        <x:v>600 dpi元数据换算，论文前实物标尺复核</x:v>
      </x:c>
    </x:row>
    <x:row r="15">
      <x:c r="A15" s="12" t="str">
        <x:v>第二测量者</x:v>
      </x:c>
      <x:c r="B15" s="12" t="str">
        <x:v>最低8张 / 推荐16张</x:v>
      </x:c>
    </x:row>
    <x:row r="16">
      <x:c r="A16" s="12" t="str">
        <x:v>描迹平台</x:v>
      </x:c>
      <x:c r="B16" s="12" t="str">
        <x:v>批准后再实现模型盲HTML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1" hidden="0" customWidth="1"/>
    <x:col min="11" max="11" width="55" hidden="0" customWidth="1"/>
    <x:col min="12" max="12" width="48" hidden="0" customWidth="1"/>
    <x:col min="13" max="13" width="16" hidden="0" customWidth="1"/>
  </x:cols>
  <x:sheetData>
    <x:row r="1" ht="30" customHeight="1">
      <x:c r="A1" s="3" t="str">
        <x:v>16张 phenotype pilot 候选</x:v>
      </x:c>
    </x:row>
    <x:row r="2" ht="34" customHeight="1">
      <x:c r="A2" s="6" t="str">
        <x:v>Core先锁定；visible leaf count只作锁定后覆盖审计。</x:v>
      </x:c>
    </x:row>
    <x:row r="4">
      <x:c r="A4" s="11" t="str">
        <x:v>dataset_id</x:v>
      </x:c>
      <x:c r="B4" s="11" t="str">
        <x:v>pilot_group</x:v>
      </x:c>
      <x:c r="C4" s="11" t="str">
        <x:v>source_frame_id</x:v>
      </x:c>
      <x:c r="D4" s="11" t="str">
        <x:v>acquisition_period</x:v>
      </x:c>
      <x:c r="E4" s="11" t="str">
        <x:v>orientation</x:v>
      </x:c>
      <x:c r="F4" s="11" t="str">
        <x:v>visible_leaf_count_postlock</x:v>
      </x:c>
      <x:c r="G4" s="11" t="str">
        <x:v>source_dpi</x:v>
      </x:c>
      <x:c r="H4" s="11" t="str">
        <x:v>resize_scale</x:v>
      </x:c>
      <x:c r="I4" s="11" t="str">
        <x:v>mm_per_output_px</x:v>
      </x:c>
      <x:c r="J4" s="11" t="str">
        <x:v>selection_basis</x:v>
      </x:c>
      <x:c r="K4" s="11" t="str">
        <x:v>selection_reason</x:v>
      </x:c>
      <x:c r="L4" s="11" t="str">
        <x:v>image_path</x:v>
      </x:c>
      <x:c r="M4" s="11" t="str">
        <x:v>approval_status</x:v>
      </x:c>
    </x:row>
    <x:row r="5">
      <x:c r="A5" s="12" t="str">
        <x:v>v4_val_0004</x:v>
      </x:c>
      <x:c r="B5" s="12" t="str">
        <x:v>core</x:v>
      </x:c>
      <x:c r="C5" s="12" t="str">
        <x:v>src_0347</x:v>
      </x:c>
      <x:c r="D5" s="12" t="str">
        <x:v>period_0515</x:v>
      </x:c>
      <x:c r="E5" s="12" t="str">
        <x:v>horizontal</x:v>
      </x:c>
      <x:c r="F5" s="25" t="n">
        <x:v>2</x:v>
      </x:c>
      <x:c r="G5" s="25" t="n">
        <x:v>600</x:v>
      </x:c>
      <x:c r="H5" s="26" t="n">
        <x:v>0.40414246021722655</x:v>
      </x:c>
      <x:c r="I5" s="26" t="n">
        <x:v>0.10474854166666667</x:v>
      </x:c>
      <x:c r="J5" s="12" t="str">
        <x:v>acquisition+original_morphology_only</x:v>
      </x:c>
      <x:c r="K5" s="12" t="str">
        <x:v>source-frame quota plus robust morphology medoid/farthest sampling</x:v>
      </x:c>
      <x:c r="L5" s="12" t="str">
        <x:v>D:\kp\adaptive_keypoint_discovery_reboot\experiment\data_stage_clean_v4_fullplant_candidate\images\val\v4_val_0004.png</x:v>
      </x:c>
      <x:c r="M5" s="12" t="str">
        <x:v>pending</x:v>
      </x:c>
    </x:row>
    <x:row r="6">
      <x:c r="A6" s="12" t="str">
        <x:v>v4_val_0005</x:v>
      </x:c>
      <x:c r="B6" s="12" t="str">
        <x:v>core</x:v>
      </x:c>
      <x:c r="C6" s="12" t="str">
        <x:v>src_0347</x:v>
      </x:c>
      <x:c r="D6" s="12" t="str">
        <x:v>period_0515</x:v>
      </x:c>
      <x:c r="E6" s="12" t="str">
        <x:v>horizontal</x:v>
      </x:c>
      <x:c r="F6" s="25" t="n">
        <x:v>2</x:v>
      </x:c>
      <x:c r="G6" s="25" t="n">
        <x:v>600</x:v>
      </x:c>
      <x:c r="H6" s="26" t="n">
        <x:v>0.6324110671936759</x:v>
      </x:c>
      <x:c r="I6" s="26" t="n">
        <x:v>0.06693958333333333</x:v>
      </x:c>
      <x:c r="J6" s="12" t="str">
        <x:v>acquisition+original_morphology_only</x:v>
      </x:c>
      <x:c r="K6" s="12" t="str">
        <x:v>source-frame quota plus robust morphology medoid/farthest sampling</x:v>
      </x:c>
      <x:c r="L6" s="12" t="str">
        <x:v>D:\kp\adaptive_keypoint_discovery_reboot\experiment\data_stage_clean_v4_fullplant_candidate\images\val\v4_val_0005.png</x:v>
      </x:c>
      <x:c r="M6" s="12" t="str">
        <x:v>pending</x:v>
      </x:c>
    </x:row>
    <x:row r="7">
      <x:c r="A7" s="12" t="str">
        <x:v>v4_val_0006</x:v>
      </x:c>
      <x:c r="B7" s="12" t="str">
        <x:v>core</x:v>
      </x:c>
      <x:c r="C7" s="12" t="str">
        <x:v>src_0347</x:v>
      </x:c>
      <x:c r="D7" s="12" t="str">
        <x:v>period_0515</x:v>
      </x:c>
      <x:c r="E7" s="12" t="str">
        <x:v>horizontal</x:v>
      </x:c>
      <x:c r="F7" s="25" t="n">
        <x:v>2</x:v>
      </x:c>
      <x:c r="G7" s="25" t="n">
        <x:v>600</x:v>
      </x:c>
      <x:c r="H7" s="26" t="n">
        <x:v>0.362400906002265</x:v>
      </x:c>
      <x:c r="I7" s="26" t="n">
        <x:v>0.11681354166666666</x:v>
      </x:c>
      <x:c r="J7" s="12" t="str">
        <x:v>acquisition+original_morphology_only</x:v>
      </x:c>
      <x:c r="K7" s="12" t="str">
        <x:v>source-frame quota plus robust morphology medoid/farthest sampling</x:v>
      </x:c>
      <x:c r="L7" s="12" t="str">
        <x:v>D:\kp\adaptive_keypoint_discovery_reboot\experiment\data_stage_clean_v4_fullplant_candidate\images\val\v4_val_0006.png</x:v>
      </x:c>
      <x:c r="M7" s="12" t="str">
        <x:v>pending</x:v>
      </x:c>
    </x:row>
    <x:row r="8">
      <x:c r="A8" s="12" t="str">
        <x:v>v4_val_0009</x:v>
      </x:c>
      <x:c r="B8" s="12" t="str">
        <x:v>core</x:v>
      </x:c>
      <x:c r="C8" s="12" t="str">
        <x:v>src_0546</x:v>
      </x:c>
      <x:c r="D8" s="12" t="str">
        <x:v>period_0516</x:v>
      </x:c>
      <x:c r="E8" s="12" t="str">
        <x:v>horizontal</x:v>
      </x:c>
      <x:c r="F8" s="25" t="n">
        <x:v>1</x:v>
      </x:c>
      <x:c r="G8" s="25" t="n">
        <x:v>600</x:v>
      </x:c>
      <x:c r="H8" s="26" t="n">
        <x:v>0.9060022650056625</x:v>
      </x:c>
      <x:c r="I8" s="26" t="n">
        <x:v>0.046725416666666665</x:v>
      </x:c>
      <x:c r="J8" s="12" t="str">
        <x:v>acquisition+original_morphology_only</x:v>
      </x:c>
      <x:c r="K8" s="12" t="str">
        <x:v>source-frame quota plus robust morphology medoid/farthest sampling</x:v>
      </x:c>
      <x:c r="L8" s="12" t="str">
        <x:v>D:\kp\adaptive_keypoint_discovery_reboot\experiment\data_stage_clean_v4_fullplant_candidate\images\val\v4_val_0009.png</x:v>
      </x:c>
      <x:c r="M8" s="12" t="str">
        <x:v>pending</x:v>
      </x:c>
    </x:row>
    <x:row r="9">
      <x:c r="A9" s="12" t="str">
        <x:v>v4_val_0011</x:v>
      </x:c>
      <x:c r="B9" s="12" t="str">
        <x:v>core</x:v>
      </x:c>
      <x:c r="C9" s="12" t="str">
        <x:v>src_0546</x:v>
      </x:c>
      <x:c r="D9" s="12" t="str">
        <x:v>period_0516</x:v>
      </x:c>
      <x:c r="E9" s="12" t="str">
        <x:v>horizontal</x:v>
      </x:c>
      <x:c r="F9" s="25" t="n">
        <x:v>2</x:v>
      </x:c>
      <x:c r="G9" s="25" t="n">
        <x:v>600</x:v>
      </x:c>
      <x:c r="H9" s="26" t="n">
        <x:v>0.8154943934760448</x:v>
      </x:c>
      <x:c r="I9" s="26" t="n">
        <x:v>0.051911250000000006</x:v>
      </x:c>
      <x:c r="J9" s="12" t="str">
        <x:v>acquisition+original_morphology_only</x:v>
      </x:c>
      <x:c r="K9" s="12" t="str">
        <x:v>source-frame quota plus robust morphology medoid/farthest sampling</x:v>
      </x:c>
      <x:c r="L9" s="12" t="str">
        <x:v>D:\kp\adaptive_keypoint_discovery_reboot\experiment\data_stage_clean_v4_fullplant_candidate\images\val\v4_val_0011.png</x:v>
      </x:c>
      <x:c r="M9" s="12" t="str">
        <x:v>pending</x:v>
      </x:c>
    </x:row>
    <x:row r="10">
      <x:c r="A10" s="12" t="str">
        <x:v>v4_val_0016</x:v>
      </x:c>
      <x:c r="B10" s="12" t="str">
        <x:v>core</x:v>
      </x:c>
      <x:c r="C10" s="12" t="str">
        <x:v>src_0615</x:v>
      </x:c>
      <x:c r="D10" s="12" t="str">
        <x:v>period_9.14-5.12</x:v>
      </x:c>
      <x:c r="E10" s="12" t="str">
        <x:v>vertical</x:v>
      </x:c>
      <x:c r="F10" s="25" t="n">
        <x:v>2</x:v>
      </x:c>
      <x:c r="G10" s="25" t="n">
        <x:v>600</x:v>
      </x:c>
      <x:c r="H10" s="26" t="n">
        <x:v>0.4935225169648365</x:v>
      </x:c>
      <x:c r="I10" s="26" t="n">
        <x:v>0.08577791666666666</x:v>
      </x:c>
      <x:c r="J10" s="12" t="str">
        <x:v>acquisition+original_morphology_only</x:v>
      </x:c>
      <x:c r="K10" s="12" t="str">
        <x:v>source-frame quota plus robust morphology medoid/farthest sampling</x:v>
      </x:c>
      <x:c r="L10" s="12" t="str">
        <x:v>D:\kp\adaptive_keypoint_discovery_reboot\experiment\data_stage_clean_v4_fullplant_candidate\images\val\v4_val_0016.png</x:v>
      </x:c>
      <x:c r="M10" s="12" t="str">
        <x:v>pending</x:v>
      </x:c>
    </x:row>
    <x:row r="11">
      <x:c r="A11" s="12" t="str">
        <x:v>v4_val_0020</x:v>
      </x:c>
      <x:c r="B11" s="12" t="str">
        <x:v>core</x:v>
      </x:c>
      <x:c r="C11" s="12" t="str">
        <x:v>src_0615</x:v>
      </x:c>
      <x:c r="D11" s="12" t="str">
        <x:v>period_9.14-5.12</x:v>
      </x:c>
      <x:c r="E11" s="12" t="str">
        <x:v>horizontal</x:v>
      </x:c>
      <x:c r="F11" s="25" t="n">
        <x:v>3</x:v>
      </x:c>
      <x:c r="G11" s="25" t="n">
        <x:v>600</x:v>
      </x:c>
      <x:c r="H11" s="26" t="n">
        <x:v>0.4554511813265016</x:v>
      </x:c>
      <x:c r="I11" s="26" t="n">
        <x:v>0.09294812499999999</x:v>
      </x:c>
      <x:c r="J11" s="12" t="str">
        <x:v>acquisition+original_morphology_only</x:v>
      </x:c>
      <x:c r="K11" s="12" t="str">
        <x:v>source-frame quota plus robust morphology medoid/farthest sampling</x:v>
      </x:c>
      <x:c r="L11" s="12" t="str">
        <x:v>D:\kp\adaptive_keypoint_discovery_reboot\experiment\data_stage_clean_v4_fullplant_candidate\images\val\v4_val_0020.png</x:v>
      </x:c>
      <x:c r="M11" s="12" t="str">
        <x:v>pending</x:v>
      </x:c>
    </x:row>
    <x:row r="12">
      <x:c r="A12" s="12" t="str">
        <x:v>v4_val_0027</x:v>
      </x:c>
      <x:c r="B12" s="12" t="str">
        <x:v>core</x:v>
      </x:c>
      <x:c r="C12" s="12" t="str">
        <x:v>src_0565</x:v>
      </x:c>
      <x:c r="D12" s="12" t="str">
        <x:v>period_0510</x:v>
      </x:c>
      <x:c r="E12" s="12" t="str">
        <x:v>horizontal</x:v>
      </x:c>
      <x:c r="F12" s="25" t="n">
        <x:v>2</x:v>
      </x:c>
      <x:c r="G12" s="25" t="n">
        <x:v>600</x:v>
      </x:c>
      <x:c r="H12" s="26" t="n">
        <x:v>0.3902439024390244</x:v>
      </x:c>
      <x:c r="I12" s="26" t="n">
        <x:v>0.10847916666666665</x:v>
      </x:c>
      <x:c r="J12" s="12" t="str">
        <x:v>acquisition+original_morphology_only</x:v>
      </x:c>
      <x:c r="K12" s="12" t="str">
        <x:v>source-frame quota plus robust morphology medoid/farthest sampling</x:v>
      </x:c>
      <x:c r="L12" s="12" t="str">
        <x:v>D:\kp\adaptive_keypoint_discovery_reboot\experiment\data_stage_clean_v4_fullplant_candidate\images\val\v4_val_0027.png</x:v>
      </x:c>
      <x:c r="M12" s="12" t="str">
        <x:v>pending</x:v>
      </x:c>
    </x:row>
    <x:row r="13">
      <x:c r="A13" s="12" t="str">
        <x:v>v4_val_0028</x:v>
      </x:c>
      <x:c r="B13" s="12" t="str">
        <x:v>core</x:v>
      </x:c>
      <x:c r="C13" s="12" t="str">
        <x:v>src_0565</x:v>
      </x:c>
      <x:c r="D13" s="12" t="str">
        <x:v>period_0510</x:v>
      </x:c>
      <x:c r="E13" s="12" t="str">
        <x:v>vertical</x:v>
      </x:c>
      <x:c r="F13" s="25" t="n">
        <x:v>2</x:v>
      </x:c>
      <x:c r="G13" s="25" t="n">
        <x:v>600</x:v>
      </x:c>
      <x:c r="H13" s="26" t="n">
        <x:v>0.7831620166421929</x:v>
      </x:c>
      <x:c r="I13" s="26" t="n">
        <x:v>0.054054374999999995</x:v>
      </x:c>
      <x:c r="J13" s="12" t="str">
        <x:v>acquisition+original_morphology_only</x:v>
      </x:c>
      <x:c r="K13" s="12" t="str">
        <x:v>source-frame quota plus robust morphology medoid/farthest sampling</x:v>
      </x:c>
      <x:c r="L13" s="12" t="str">
        <x:v>D:\kp\adaptive_keypoint_discovery_reboot\experiment\data_stage_clean_v4_fullplant_candidate\images\val\v4_val_0028.png</x:v>
      </x:c>
      <x:c r="M13" s="12" t="str">
        <x:v>pending</x:v>
      </x:c>
    </x:row>
    <x:row r="14">
      <x:c r="A14" s="12" t="str">
        <x:v>v4_val_0030</x:v>
      </x:c>
      <x:c r="B14" s="12" t="str">
        <x:v>core</x:v>
      </x:c>
      <x:c r="C14" s="12" t="str">
        <x:v>src_0349</x:v>
      </x:c>
      <x:c r="D14" s="12" t="str">
        <x:v>period_0515</x:v>
      </x:c>
      <x:c r="E14" s="12" t="str">
        <x:v>horizontal</x:v>
      </x:c>
      <x:c r="F14" s="25" t="n">
        <x:v>2</x:v>
      </x:c>
      <x:c r="G14" s="25" t="n">
        <x:v>600</x:v>
      </x:c>
      <x:c r="H14" s="26" t="n">
        <x:v>0.40261701056869653</x:v>
      </x:c>
      <x:c r="I14" s="26" t="n">
        <x:v>0.10514541666666666</x:v>
      </x:c>
      <x:c r="J14" s="12" t="str">
        <x:v>acquisition+original_morphology_only</x:v>
      </x:c>
      <x:c r="K14" s="12" t="str">
        <x:v>source-frame quota plus robust morphology medoid/farthest sampling</x:v>
      </x:c>
      <x:c r="L14" s="12" t="str">
        <x:v>D:\kp\adaptive_keypoint_discovery_reboot\experiment\data_stage_clean_v4_fullplant_candidate\images\val\v4_val_0030.png</x:v>
      </x:c>
      <x:c r="M14" s="12" t="str">
        <x:v>pending</x:v>
      </x:c>
    </x:row>
    <x:row r="15">
      <x:c r="A15" s="12" t="str">
        <x:v>v4_val_0035</x:v>
      </x:c>
      <x:c r="B15" s="12" t="str">
        <x:v>core</x:v>
      </x:c>
      <x:c r="C15" s="12" t="str">
        <x:v>src_0614</x:v>
      </x:c>
      <x:c r="D15" s="12" t="str">
        <x:v>period_9.14-5.12</x:v>
      </x:c>
      <x:c r="E15" s="12" t="str">
        <x:v>horizontal</x:v>
      </x:c>
      <x:c r="F15" s="25" t="n">
        <x:v>3</x:v>
      </x:c>
      <x:c r="G15" s="25" t="n">
        <x:v>600</x:v>
      </x:c>
      <x:c r="H15" s="26" t="n">
        <x:v>0.608596424496006</x:v>
      </x:c>
      <x:c r="I15" s="26" t="n">
        <x:v>0.06955895833333334</x:v>
      </x:c>
      <x:c r="J15" s="12" t="str">
        <x:v>acquisition+original_morphology_only</x:v>
      </x:c>
      <x:c r="K15" s="12" t="str">
        <x:v>source-frame quota plus robust morphology medoid/farthest sampling</x:v>
      </x:c>
      <x:c r="L15" s="12" t="str">
        <x:v>D:\kp\adaptive_keypoint_discovery_reboot\experiment\data_stage_clean_v4_fullplant_candidate\images\val\v4_val_0035.png</x:v>
      </x:c>
      <x:c r="M15" s="12" t="str">
        <x:v>pending</x:v>
      </x:c>
    </x:row>
    <x:row r="16">
      <x:c r="A16" s="12" t="str">
        <x:v>v4_val_0037</x:v>
      </x:c>
      <x:c r="B16" s="12" t="str">
        <x:v>core</x:v>
      </x:c>
      <x:c r="C16" s="12" t="str">
        <x:v>src_0560</x:v>
      </x:c>
      <x:c r="D16" s="12" t="str">
        <x:v>period_0510</x:v>
      </x:c>
      <x:c r="E16" s="12" t="str">
        <x:v>horizontal</x:v>
      </x:c>
      <x:c r="F16" s="25" t="n">
        <x:v>2</x:v>
      </x:c>
      <x:c r="G16" s="25" t="n">
        <x:v>600</x:v>
      </x:c>
      <x:c r="H16" s="26" t="n">
        <x:v>0.3504161191414805</x:v>
      </x:c>
      <x:c r="I16" s="26" t="n">
        <x:v>0.12080874999999998</x:v>
      </x:c>
      <x:c r="J16" s="12" t="str">
        <x:v>acquisition+original_morphology_only</x:v>
      </x:c>
      <x:c r="K16" s="12" t="str">
        <x:v>source-frame quota plus robust morphology medoid/farthest sampling</x:v>
      </x:c>
      <x:c r="L16" s="12" t="str">
        <x:v>D:\kp\adaptive_keypoint_discovery_reboot\experiment\data_stage_clean_v4_fullplant_candidate\images\val\v4_val_0037.png</x:v>
      </x:c>
      <x:c r="M16" s="12" t="str">
        <x:v>pending</x:v>
      </x:c>
    </x:row>
    <x:row r="17">
      <x:c r="A17" s="12" t="str">
        <x:v>v4_val_0002</x:v>
      </x:c>
      <x:c r="B17" s="12" t="str">
        <x:v>diagnostic</x:v>
      </x:c>
      <x:c r="C17" s="12" t="str">
        <x:v>src_0347</x:v>
      </x:c>
      <x:c r="D17" s="12" t="str">
        <x:v>period_0515</x:v>
      </x:c>
      <x:c r="E17" s="12" t="str">
        <x:v>horizontal</x:v>
      </x:c>
      <x:c r="F17" s="25" t="n">
        <x:v>2</x:v>
      </x:c>
      <x:c r="G17" s="25" t="n">
        <x:v>600</x:v>
      </x:c>
      <x:c r="H17" s="26" t="n">
        <x:v>0.3969238402381543</x:v>
      </x:c>
      <x:c r="I17" s="26" t="n">
        <x:v>0.10665354166666666</x:v>
      </x:c>
      <x:c r="J17" s="12" t="str">
        <x:v>frozen_ABCD_disagreement_after_core_lock</x:v>
      </x:c>
      <x:c r="K17" s="12" t="str">
        <x:v>D&gt;B：增强Teacher恢复漏叶并改善基部的正向案例</x:v>
      </x:c>
      <x:c r="L17" s="12" t="str">
        <x:v>D:\kp\adaptive_keypoint_discovery_reboot\experiment\data_stage_clean_v4_fullplant_candidate\images\val\v4_val_0002.png</x:v>
      </x:c>
      <x:c r="M17" s="12" t="str">
        <x:v>pending</x:v>
      </x:c>
    </x:row>
    <x:row r="18">
      <x:c r="A18" s="12" t="str">
        <x:v>v4_val_0018</x:v>
      </x:c>
      <x:c r="B18" s="12" t="str">
        <x:v>diagnostic</x:v>
      </x:c>
      <x:c r="C18" s="12" t="str">
        <x:v>src_0615</x:v>
      </x:c>
      <x:c r="D18" s="12" t="str">
        <x:v>period_9.14-5.12</x:v>
      </x:c>
      <x:c r="E18" s="12" t="str">
        <x:v>horizontal</x:v>
      </x:c>
      <x:c r="F18" s="25" t="n">
        <x:v>3</x:v>
      </x:c>
      <x:c r="G18" s="25" t="n">
        <x:v>600</x:v>
      </x:c>
      <x:c r="H18" s="26" t="n">
        <x:v>0.516295579219103</x:v>
      </x:c>
      <x:c r="I18" s="26" t="n">
        <x:v>0.081994375</x:v>
      </x:c>
      <x:c r="J18" s="12" t="str">
        <x:v>frozen_ABCD_disagreement_after_core_lock</x:v>
      </x:c>
      <x:c r="K18" s="12" t="str">
        <x:v>B新增假枝和错连而D消除该错误，用于检查错连的表型代价</x:v>
      </x:c>
      <x:c r="L18" s="12" t="str">
        <x:v>D:\kp\adaptive_keypoint_discovery_reboot\experiment\data_stage_clean_v4_fullplant_candidate\images\val\v4_val_0018.png</x:v>
      </x:c>
      <x:c r="M18" s="12" t="str">
        <x:v>pending</x:v>
      </x:c>
    </x:row>
    <x:row r="19">
      <x:c r="A19" s="12" t="str">
        <x:v>v4_val_0023</x:v>
      </x:c>
      <x:c r="B19" s="12" t="str">
        <x:v>diagnostic</x:v>
      </x:c>
      <x:c r="C19" s="12" t="str">
        <x:v>src_0565</x:v>
      </x:c>
      <x:c r="D19" s="12" t="str">
        <x:v>period_0510</x:v>
      </x:c>
      <x:c r="E19" s="12" t="str">
        <x:v>horizontal</x:v>
      </x:c>
      <x:c r="F19" s="25" t="n">
        <x:v>2</x:v>
      </x:c>
      <x:c r="G19" s="25" t="n">
        <x:v>600</x:v>
      </x:c>
      <x:c r="H19" s="26" t="n">
        <x:v>0.3442340791738382</x:v>
      </x:c>
      <x:c r="I19" s="26" t="n">
        <x:v>0.12297833333333334</x:v>
      </x:c>
      <x:c r="J19" s="12" t="str">
        <x:v>frozen_ABCD_disagreement_after_core_lock</x:v>
      </x:c>
      <x:c r="K19" s="12" t="str">
        <x:v>B&gt;D：D丢失两片真叶且基部恶化的反向案例</x:v>
      </x:c>
      <x:c r="L19" s="12" t="str">
        <x:v>D:\kp\adaptive_keypoint_discovery_reboot\experiment\data_stage_clean_v4_fullplant_candidate\images\val\v4_val_0023.png</x:v>
      </x:c>
      <x:c r="M19" s="12" t="str">
        <x:v>pending</x:v>
      </x:c>
    </x:row>
    <x:row r="20">
      <x:c r="A20" s="12" t="str">
        <x:v>v4_val_0034</x:v>
      </x:c>
      <x:c r="B20" s="12" t="str">
        <x:v>diagnostic</x:v>
      </x:c>
      <x:c r="C20" s="12" t="str">
        <x:v>src_0614</x:v>
      </x:c>
      <x:c r="D20" s="12" t="str">
        <x:v>period_9.14-5.12</x:v>
      </x:c>
      <x:c r="E20" s="12" t="str">
        <x:v>horizontal</x:v>
      </x:c>
      <x:c r="F20" s="25" t="n">
        <x:v>2</x:v>
      </x:c>
      <x:c r="G20" s="25" t="n">
        <x:v>600</x:v>
      </x:c>
      <x:c r="H20" s="26" t="n">
        <x:v>0.4698972099853157</x:v>
      </x:c>
      <x:c r="I20" s="26" t="n">
        <x:v>0.09009062500000001</x:v>
      </x:c>
      <x:c r="J20" s="12" t="str">
        <x:v>frozen_ABCD_disagreement_after_core_lock</x:v>
      </x:c>
      <x:c r="K20" s="12" t="str">
        <x:v>局部Decoder新增假枝和错连，且各方案均有基部争议</x:v>
      </x:c>
      <x:c r="L20" s="12" t="str">
        <x:v>D:\kp\adaptive_keypoint_discovery_reboot\experiment\data_stage_clean_v4_fullplant_candidate\images\val\v4_val_0034.png</x:v>
      </x:c>
      <x:c r="M20" s="12" t="str">
        <x:v>pending</x:v>
      </x:c>
    </x:row>
  </x:sheetData>
  <x:mergeCells>
    <x:mergeCell ref="A1:M1"/>
    <x:mergeCell ref="A2:M2"/>
  </x:mergeCells>
  <x:conditionalFormatting sqref="B5:B20">
    <x:cfRule type="containsText" dxfId="0" priority="1" operator="containsText" text="core"/>
    <x:cfRule type="containsText" dxfId="1" priority="2" operator="containsText" text="diagnostic"/>
  </x:conditionalFormatting>
  <x:dataValidations count="1">
    <x:dataValidation type="list" sqref="M5:M20">
      <x:formula1>"pending,approved,replace"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6425e13f8f4c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34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35" hidden="0" customWidth="1"/>
  </x:cols>
  <x:sheetData>
    <x:row r="1" ht="30" customHeight="1">
      <x:c r="A1" s="3" t="str">
        <x:v>人工表型参考工作表</x:v>
      </x:c>
    </x:row>
    <x:row r="2" ht="34" customHeight="1">
      <x:c r="A2" s="6" t="str">
        <x:v>85条最低配置描迹任务；蓝色字体为人工输入，length_mm和length_bbox_norm由公式计算。</x:v>
      </x:c>
    </x:row>
    <x:row r="4">
      <x:c r="A4" s="11" t="str">
        <x:v>protocol_version</x:v>
      </x:c>
      <x:c r="B4" s="11" t="str">
        <x:v>dataset_id</x:v>
      </x:c>
      <x:c r="C4" s="11" t="str">
        <x:v>pilot_group</x:v>
      </x:c>
      <x:c r="D4" s="11" t="str">
        <x:v>blind_id</x:v>
      </x:c>
      <x:c r="E4" s="11" t="str">
        <x:v>rater_id</x:v>
      </x:c>
      <x:c r="F4" s="11" t="str">
        <x:v>measurement_round</x:v>
      </x:c>
      <x:c r="G4" s="11" t="str">
        <x:v>measurement_date</x:v>
      </x:c>
      <x:c r="H4" s="11" t="str">
        <x:v>gt_leaf_id</x:v>
      </x:c>
      <x:c r="I4" s="11" t="str">
        <x:v>leaf_exists</x:v>
      </x:c>
      <x:c r="J4" s="11" t="str">
        <x:v>visibility_status</x:v>
      </x:c>
      <x:c r="K4" s="11" t="str">
        <x:v>trace_status</x:v>
      </x:c>
      <x:c r="L4" s="11" t="str">
        <x:v>basal_transition_status</x:v>
      </x:c>
      <x:c r="M4" s="11" t="str">
        <x:v>start_x_px</x:v>
      </x:c>
      <x:c r="N4" s="11" t="str">
        <x:v>start_y_px</x:v>
      </x:c>
      <x:c r="O4" s="11" t="str">
        <x:v>tip_x_px</x:v>
      </x:c>
      <x:c r="P4" s="11" t="str">
        <x:v>tip_y_px</x:v>
      </x:c>
      <x:c r="Q4" s="11" t="str">
        <x:v>trace_file</x:v>
      </x:c>
      <x:c r="R4" s="11" t="str">
        <x:v>length_px</x:v>
      </x:c>
      <x:c r="S4" s="11" t="str">
        <x:v>source_dpi</x:v>
      </x:c>
      <x:c r="T4" s="11" t="str">
        <x:v>resize_scale</x:v>
      </x:c>
      <x:c r="U4" s="11" t="str">
        <x:v>mm_per_output_px</x:v>
      </x:c>
      <x:c r="V4" s="11" t="str">
        <x:v>length_mm</x:v>
      </x:c>
      <x:c r="W4" s="11" t="str">
        <x:v>shoot_bbox_diag_px</x:v>
      </x:c>
      <x:c r="X4" s="11" t="str">
        <x:v>length_bbox_norm</x:v>
      </x:c>
      <x:c r="Y4" s="11" t="str">
        <x:v>reference_main_path</x:v>
      </x:c>
      <x:c r="Z4" s="11" t="str">
        <x:v>divergence_point_x_px</x:v>
      </x:c>
      <x:c r="AA4" s="11" t="str">
        <x:v>divergence_point_y_px</x:v>
      </x:c>
      <x:c r="AB4" s="11" t="str">
        <x:v>local_interval_px</x:v>
      </x:c>
      <x:c r="AC4" s="11" t="str">
        <x:v>divergence_angle_deg</x:v>
      </x:c>
      <x:c r="AD4" s="11" t="str">
        <x:v>total_turning_angle_deg</x:v>
      </x:c>
      <x:c r="AE4" s="11" t="str">
        <x:v>mean_abs_curvature_mm_inv</x:v>
      </x:c>
      <x:c r="AF4" s="11" t="str">
        <x:v>occlusion_grade</x:v>
      </x:c>
      <x:c r="AG4" s="11" t="str">
        <x:v>interpolation_used</x:v>
      </x:c>
      <x:c r="AH4" s="11" t="str">
        <x:v>confidence</x:v>
      </x:c>
      <x:c r="AI4" s="11" t="str">
        <x:v>evaluation_only_no_training</x:v>
      </x:c>
      <x:c r="AJ4" s="11" t="str">
        <x:v>notes</x:v>
      </x:c>
    </x:row>
    <x:row r="5">
      <x:c r="A5" t="str">
        <x:v>phenotype-first-pilot-v1</x:v>
      </x:c>
      <x:c r="B5" t="str">
        <x:v>v4_val_0002</x:v>
      </x:c>
      <x:c r="C5" t="str">
        <x:v>diagnostic</x:v>
      </x:c>
      <x:c r="D5" t="str">
        <x:v>R11_0002</x:v>
      </x:c>
      <x:c r="E5" t="str">
        <x:v>R1</x:v>
      </x:c>
      <x:c r="F5" t="n">
        <x:v>1</x:v>
      </x:c>
      <x:c r="G5" t="str"/>
      <x:c r="H5" t="str">
        <x:v>GT01</x:v>
      </x:c>
      <x:c r="I5" t="str">
        <x:v>yes</x:v>
      </x:c>
      <x:c r="J5" t="str">
        <x:v>pending</x:v>
      </x:c>
      <x:c r="K5" t="str">
        <x:v>pending</x:v>
      </x:c>
      <x:c r="L5" t="str">
        <x:v>pending</x:v>
      </x:c>
      <x:c r="M5" s="27" t="str"/>
      <x:c r="N5" s="27" t="str"/>
      <x:c r="O5" s="27" t="str"/>
      <x:c r="P5" s="27" t="str"/>
      <x:c r="Q5" s="27" t="str"/>
      <x:c r="R5" s="29" t="str"/>
      <x:c r="S5" s="28" t="n">
        <x:v>600</x:v>
      </x:c>
      <x:c r="T5" s="28" t="n">
        <x:v>0.3969238402381543</x:v>
      </x:c>
      <x:c r="U5" s="28" t="n">
        <x:v>0.10665354166666666</x:v>
      </x:c>
      <x:c r="V5" s="30" t="str">
        <x:f>IF(R5="","",R5*U5)</x:f>
      </x:c>
      <x:c r="W5" s="28" t="str"/>
      <x:c r="X5" s="24" t="str">
        <x:f>IF(OR(R5="",W5=""),"",R5/W5)</x:f>
      </x:c>
      <x:c r="Y5" s="27" t="str">
        <x:v>pending</x:v>
      </x:c>
      <x:c r="Z5" s="27" t="str"/>
      <x:c r="AA5" s="27" t="str"/>
      <x:c r="AB5" s="27" t="str"/>
      <x:c r="AC5" s="31" t="str"/>
      <x:c r="AD5" s="31" t="str"/>
      <x:c r="AE5" s="31" t="str"/>
      <x:c r="AF5" s="27" t="str">
        <x:v>pending</x:v>
      </x:c>
      <x:c r="AG5" s="27" t="str">
        <x:v>pending</x:v>
      </x:c>
      <x:c r="AH5" s="27" t="str">
        <x:v>pending</x:v>
      </x:c>
      <x:c r="AI5" s="27" t="n">
        <x:v>1</x:v>
      </x:c>
      <x:c r="AJ5" s="27" t="str"/>
    </x:row>
    <x:row r="6">
      <x:c r="A6" t="str">
        <x:v>phenotype-first-pilot-v1</x:v>
      </x:c>
      <x:c r="B6" t="str">
        <x:v>v4_val_0002</x:v>
      </x:c>
      <x:c r="C6" t="str">
        <x:v>diagnostic</x:v>
      </x:c>
      <x:c r="D6" t="str">
        <x:v>R11_0002</x:v>
      </x:c>
      <x:c r="E6" t="str">
        <x:v>R1</x:v>
      </x:c>
      <x:c r="F6" t="n">
        <x:v>1</x:v>
      </x:c>
      <x:c r="G6" t="str"/>
      <x:c r="H6" t="str">
        <x:v>GT02</x:v>
      </x:c>
      <x:c r="I6" t="str">
        <x:v>yes</x:v>
      </x:c>
      <x:c r="J6" t="str">
        <x:v>pending</x:v>
      </x:c>
      <x:c r="K6" t="str">
        <x:v>pending</x:v>
      </x:c>
      <x:c r="L6" t="str">
        <x:v>pending</x:v>
      </x:c>
      <x:c r="M6" s="27" t="str"/>
      <x:c r="N6" s="27" t="str"/>
      <x:c r="O6" s="27" t="str"/>
      <x:c r="P6" s="27" t="str"/>
      <x:c r="Q6" s="27" t="str"/>
      <x:c r="R6" s="29" t="str"/>
      <x:c r="S6" s="28" t="n">
        <x:v>600</x:v>
      </x:c>
      <x:c r="T6" s="28" t="n">
        <x:v>0.3969238402381543</x:v>
      </x:c>
      <x:c r="U6" s="28" t="n">
        <x:v>0.10665354166666666</x:v>
      </x:c>
      <x:c r="V6" s="30" t="str">
        <x:f>IF(R6="","",R6*U6)</x:f>
      </x:c>
      <x:c r="W6" s="28" t="str"/>
      <x:c r="X6" s="24" t="str">
        <x:f>IF(OR(R6="",W6=""),"",R6/W6)</x:f>
      </x:c>
      <x:c r="Y6" s="27" t="str">
        <x:v>pending</x:v>
      </x:c>
      <x:c r="Z6" s="27" t="str"/>
      <x:c r="AA6" s="27" t="str"/>
      <x:c r="AB6" s="27" t="str"/>
      <x:c r="AC6" s="31" t="str"/>
      <x:c r="AD6" s="31" t="str"/>
      <x:c r="AE6" s="31" t="str"/>
      <x:c r="AF6" s="27" t="str">
        <x:v>pending</x:v>
      </x:c>
      <x:c r="AG6" s="27" t="str">
        <x:v>pending</x:v>
      </x:c>
      <x:c r="AH6" s="27" t="str">
        <x:v>pending</x:v>
      </x:c>
      <x:c r="AI6" s="27" t="n">
        <x:v>1</x:v>
      </x:c>
      <x:c r="AJ6" s="27" t="str"/>
    </x:row>
    <x:row r="7">
      <x:c r="A7" t="str">
        <x:v>phenotype-first-pilot-v1</x:v>
      </x:c>
      <x:c r="B7" t="str">
        <x:v>v4_val_0004</x:v>
      </x:c>
      <x:c r="C7" t="str">
        <x:v>core</x:v>
      </x:c>
      <x:c r="D7" t="str">
        <x:v>R11_0004</x:v>
      </x:c>
      <x:c r="E7" t="str">
        <x:v>R1</x:v>
      </x:c>
      <x:c r="F7" t="n">
        <x:v>1</x:v>
      </x:c>
      <x:c r="G7" t="str"/>
      <x:c r="H7" t="str">
        <x:v>GT01</x:v>
      </x:c>
      <x:c r="I7" t="str">
        <x:v>yes</x:v>
      </x:c>
      <x:c r="J7" t="str">
        <x:v>pending</x:v>
      </x:c>
      <x:c r="K7" t="str">
        <x:v>pending</x:v>
      </x:c>
      <x:c r="L7" t="str">
        <x:v>pending</x:v>
      </x:c>
      <x:c r="M7" s="27" t="str"/>
      <x:c r="N7" s="27" t="str"/>
      <x:c r="O7" s="27" t="str"/>
      <x:c r="P7" s="27" t="str"/>
      <x:c r="Q7" s="27" t="str"/>
      <x:c r="R7" s="29" t="str"/>
      <x:c r="S7" s="28" t="n">
        <x:v>600</x:v>
      </x:c>
      <x:c r="T7" s="28" t="n">
        <x:v>0.40414246021722655</x:v>
      </x:c>
      <x:c r="U7" s="28" t="n">
        <x:v>0.10474854166666667</x:v>
      </x:c>
      <x:c r="V7" s="30" t="str">
        <x:f>IF(R7="","",R7*U7)</x:f>
      </x:c>
      <x:c r="W7" s="28" t="str"/>
      <x:c r="X7" s="24" t="str">
        <x:f>IF(OR(R7="",W7=""),"",R7/W7)</x:f>
      </x:c>
      <x:c r="Y7" s="27" t="str">
        <x:v>pending</x:v>
      </x:c>
      <x:c r="Z7" s="27" t="str"/>
      <x:c r="AA7" s="27" t="str"/>
      <x:c r="AB7" s="27" t="str"/>
      <x:c r="AC7" s="31" t="str"/>
      <x:c r="AD7" s="31" t="str"/>
      <x:c r="AE7" s="31" t="str"/>
      <x:c r="AF7" s="27" t="str">
        <x:v>pending</x:v>
      </x:c>
      <x:c r="AG7" s="27" t="str">
        <x:v>pending</x:v>
      </x:c>
      <x:c r="AH7" s="27" t="str">
        <x:v>pending</x:v>
      </x:c>
      <x:c r="AI7" s="27" t="n">
        <x:v>1</x:v>
      </x:c>
      <x:c r="AJ7" s="27" t="str"/>
    </x:row>
    <x:row r="8">
      <x:c r="A8" t="str">
        <x:v>phenotype-first-pilot-v1</x:v>
      </x:c>
      <x:c r="B8" t="str">
        <x:v>v4_val_0004</x:v>
      </x:c>
      <x:c r="C8" t="str">
        <x:v>core</x:v>
      </x:c>
      <x:c r="D8" t="str">
        <x:v>R11_0004</x:v>
      </x:c>
      <x:c r="E8" t="str">
        <x:v>R1</x:v>
      </x:c>
      <x:c r="F8" t="n">
        <x:v>1</x:v>
      </x:c>
      <x:c r="G8" t="str"/>
      <x:c r="H8" t="str">
        <x:v>GT02</x:v>
      </x:c>
      <x:c r="I8" t="str">
        <x:v>yes</x:v>
      </x:c>
      <x:c r="J8" t="str">
        <x:v>pending</x:v>
      </x:c>
      <x:c r="K8" t="str">
        <x:v>pending</x:v>
      </x:c>
      <x:c r="L8" t="str">
        <x:v>pending</x:v>
      </x:c>
      <x:c r="M8" s="27" t="str"/>
      <x:c r="N8" s="27" t="str"/>
      <x:c r="O8" s="27" t="str"/>
      <x:c r="P8" s="27" t="str"/>
      <x:c r="Q8" s="27" t="str"/>
      <x:c r="R8" s="29" t="str"/>
      <x:c r="S8" s="28" t="n">
        <x:v>600</x:v>
      </x:c>
      <x:c r="T8" s="28" t="n">
        <x:v>0.40414246021722655</x:v>
      </x:c>
      <x:c r="U8" s="28" t="n">
        <x:v>0.10474854166666667</x:v>
      </x:c>
      <x:c r="V8" s="30" t="str">
        <x:f>IF(R8="","",R8*U8)</x:f>
      </x:c>
      <x:c r="W8" s="28" t="str"/>
      <x:c r="X8" s="24" t="str">
        <x:f>IF(OR(R8="",W8=""),"",R8/W8)</x:f>
      </x:c>
      <x:c r="Y8" s="27" t="str">
        <x:v>pending</x:v>
      </x:c>
      <x:c r="Z8" s="27" t="str"/>
      <x:c r="AA8" s="27" t="str"/>
      <x:c r="AB8" s="27" t="str"/>
      <x:c r="AC8" s="31" t="str"/>
      <x:c r="AD8" s="31" t="str"/>
      <x:c r="AE8" s="31" t="str"/>
      <x:c r="AF8" s="27" t="str">
        <x:v>pending</x:v>
      </x:c>
      <x:c r="AG8" s="27" t="str">
        <x:v>pending</x:v>
      </x:c>
      <x:c r="AH8" s="27" t="str">
        <x:v>pending</x:v>
      </x:c>
      <x:c r="AI8" s="27" t="n">
        <x:v>1</x:v>
      </x:c>
      <x:c r="AJ8" s="27" t="str"/>
    </x:row>
    <x:row r="9">
      <x:c r="A9" t="str">
        <x:v>phenotype-first-pilot-v1</x:v>
      </x:c>
      <x:c r="B9" t="str">
        <x:v>v4_val_0005</x:v>
      </x:c>
      <x:c r="C9" t="str">
        <x:v>core</x:v>
      </x:c>
      <x:c r="D9" t="str">
        <x:v>R11_0005</x:v>
      </x:c>
      <x:c r="E9" t="str">
        <x:v>R1</x:v>
      </x:c>
      <x:c r="F9" t="n">
        <x:v>1</x:v>
      </x:c>
      <x:c r="G9" t="str"/>
      <x:c r="H9" t="str">
        <x:v>GT01</x:v>
      </x:c>
      <x:c r="I9" t="str">
        <x:v>yes</x:v>
      </x:c>
      <x:c r="J9" t="str">
        <x:v>pending</x:v>
      </x:c>
      <x:c r="K9" t="str">
        <x:v>pending</x:v>
      </x:c>
      <x:c r="L9" t="str">
        <x:v>pending</x:v>
      </x:c>
      <x:c r="M9" s="27" t="str"/>
      <x:c r="N9" s="27" t="str"/>
      <x:c r="O9" s="27" t="str"/>
      <x:c r="P9" s="27" t="str"/>
      <x:c r="Q9" s="27" t="str"/>
      <x:c r="R9" s="29" t="str"/>
      <x:c r="S9" s="28" t="n">
        <x:v>600</x:v>
      </x:c>
      <x:c r="T9" s="28" t="n">
        <x:v>0.6324110671936759</x:v>
      </x:c>
      <x:c r="U9" s="28" t="n">
        <x:v>0.06693958333333333</x:v>
      </x:c>
      <x:c r="V9" s="30" t="str">
        <x:f>IF(R9="","",R9*U9)</x:f>
      </x:c>
      <x:c r="W9" s="28" t="str"/>
      <x:c r="X9" s="24" t="str">
        <x:f>IF(OR(R9="",W9=""),"",R9/W9)</x:f>
      </x:c>
      <x:c r="Y9" s="27" t="str">
        <x:v>pending</x:v>
      </x:c>
      <x:c r="Z9" s="27" t="str"/>
      <x:c r="AA9" s="27" t="str"/>
      <x:c r="AB9" s="27" t="str"/>
      <x:c r="AC9" s="31" t="str"/>
      <x:c r="AD9" s="31" t="str"/>
      <x:c r="AE9" s="31" t="str"/>
      <x:c r="AF9" s="27" t="str">
        <x:v>pending</x:v>
      </x:c>
      <x:c r="AG9" s="27" t="str">
        <x:v>pending</x:v>
      </x:c>
      <x:c r="AH9" s="27" t="str">
        <x:v>pending</x:v>
      </x:c>
      <x:c r="AI9" s="27" t="n">
        <x:v>1</x:v>
      </x:c>
      <x:c r="AJ9" s="27" t="str"/>
    </x:row>
    <x:row r="10">
      <x:c r="A10" t="str">
        <x:v>phenotype-first-pilot-v1</x:v>
      </x:c>
      <x:c r="B10" t="str">
        <x:v>v4_val_0005</x:v>
      </x:c>
      <x:c r="C10" t="str">
        <x:v>core</x:v>
      </x:c>
      <x:c r="D10" t="str">
        <x:v>R11_0005</x:v>
      </x:c>
      <x:c r="E10" t="str">
        <x:v>R1</x:v>
      </x:c>
      <x:c r="F10" t="n">
        <x:v>1</x:v>
      </x:c>
      <x:c r="G10" t="str"/>
      <x:c r="H10" t="str">
        <x:v>GT02</x:v>
      </x:c>
      <x:c r="I10" t="str">
        <x:v>yes</x:v>
      </x:c>
      <x:c r="J10" t="str">
        <x:v>pending</x:v>
      </x:c>
      <x:c r="K10" t="str">
        <x:v>pending</x:v>
      </x:c>
      <x:c r="L10" t="str">
        <x:v>pending</x:v>
      </x:c>
      <x:c r="M10" s="27" t="str"/>
      <x:c r="N10" s="27" t="str"/>
      <x:c r="O10" s="27" t="str"/>
      <x:c r="P10" s="27" t="str"/>
      <x:c r="Q10" s="27" t="str"/>
      <x:c r="R10" s="29" t="str"/>
      <x:c r="S10" s="28" t="n">
        <x:v>600</x:v>
      </x:c>
      <x:c r="T10" s="28" t="n">
        <x:v>0.6324110671936759</x:v>
      </x:c>
      <x:c r="U10" s="28" t="n">
        <x:v>0.06693958333333333</x:v>
      </x:c>
      <x:c r="V10" s="30" t="str">
        <x:f>IF(R10="","",R10*U10)</x:f>
      </x:c>
      <x:c r="W10" s="28" t="str"/>
      <x:c r="X10" s="24" t="str">
        <x:f>IF(OR(R10="",W10=""),"",R10/W10)</x:f>
      </x:c>
      <x:c r="Y10" s="27" t="str">
        <x:v>pending</x:v>
      </x:c>
      <x:c r="Z10" s="27" t="str"/>
      <x:c r="AA10" s="27" t="str"/>
      <x:c r="AB10" s="27" t="str"/>
      <x:c r="AC10" s="31" t="str"/>
      <x:c r="AD10" s="31" t="str"/>
      <x:c r="AE10" s="31" t="str"/>
      <x:c r="AF10" s="27" t="str">
        <x:v>pending</x:v>
      </x:c>
      <x:c r="AG10" s="27" t="str">
        <x:v>pending</x:v>
      </x:c>
      <x:c r="AH10" s="27" t="str">
        <x:v>pending</x:v>
      </x:c>
      <x:c r="AI10" s="27" t="n">
        <x:v>1</x:v>
      </x:c>
      <x:c r="AJ10" s="27" t="str"/>
    </x:row>
    <x:row r="11">
      <x:c r="A11" t="str">
        <x:v>phenotype-first-pilot-v1</x:v>
      </x:c>
      <x:c r="B11" t="str">
        <x:v>v4_val_0006</x:v>
      </x:c>
      <x:c r="C11" t="str">
        <x:v>core</x:v>
      </x:c>
      <x:c r="D11" t="str">
        <x:v>R11_0006</x:v>
      </x:c>
      <x:c r="E11" t="str">
        <x:v>R1</x:v>
      </x:c>
      <x:c r="F11" t="n">
        <x:v>1</x:v>
      </x:c>
      <x:c r="G11" t="str"/>
      <x:c r="H11" t="str">
        <x:v>GT01</x:v>
      </x:c>
      <x:c r="I11" t="str">
        <x:v>yes</x:v>
      </x:c>
      <x:c r="J11" t="str">
        <x:v>pending</x:v>
      </x:c>
      <x:c r="K11" t="str">
        <x:v>pending</x:v>
      </x:c>
      <x:c r="L11" t="str">
        <x:v>pending</x:v>
      </x:c>
      <x:c r="M11" s="27" t="str"/>
      <x:c r="N11" s="27" t="str"/>
      <x:c r="O11" s="27" t="str"/>
      <x:c r="P11" s="27" t="str"/>
      <x:c r="Q11" s="27" t="str"/>
      <x:c r="R11" s="29" t="str"/>
      <x:c r="S11" s="28" t="n">
        <x:v>600</x:v>
      </x:c>
      <x:c r="T11" s="28" t="n">
        <x:v>0.362400906002265</x:v>
      </x:c>
      <x:c r="U11" s="28" t="n">
        <x:v>0.11681354166666666</x:v>
      </x:c>
      <x:c r="V11" s="30" t="str">
        <x:f>IF(R11="","",R11*U11)</x:f>
      </x:c>
      <x:c r="W11" s="28" t="str"/>
      <x:c r="X11" s="24" t="str">
        <x:f>IF(OR(R11="",W11=""),"",R11/W11)</x:f>
      </x:c>
      <x:c r="Y11" s="27" t="str">
        <x:v>pending</x:v>
      </x:c>
      <x:c r="Z11" s="27" t="str"/>
      <x:c r="AA11" s="27" t="str"/>
      <x:c r="AB11" s="27" t="str"/>
      <x:c r="AC11" s="31" t="str"/>
      <x:c r="AD11" s="31" t="str"/>
      <x:c r="AE11" s="31" t="str"/>
      <x:c r="AF11" s="27" t="str">
        <x:v>pending</x:v>
      </x:c>
      <x:c r="AG11" s="27" t="str">
        <x:v>pending</x:v>
      </x:c>
      <x:c r="AH11" s="27" t="str">
        <x:v>pending</x:v>
      </x:c>
      <x:c r="AI11" s="27" t="n">
        <x:v>1</x:v>
      </x:c>
      <x:c r="AJ11" s="27" t="str"/>
    </x:row>
    <x:row r="12">
      <x:c r="A12" t="str">
        <x:v>phenotype-first-pilot-v1</x:v>
      </x:c>
      <x:c r="B12" t="str">
        <x:v>v4_val_0006</x:v>
      </x:c>
      <x:c r="C12" t="str">
        <x:v>core</x:v>
      </x:c>
      <x:c r="D12" t="str">
        <x:v>R11_0006</x:v>
      </x:c>
      <x:c r="E12" t="str">
        <x:v>R1</x:v>
      </x:c>
      <x:c r="F12" t="n">
        <x:v>1</x:v>
      </x:c>
      <x:c r="G12" t="str"/>
      <x:c r="H12" t="str">
        <x:v>GT02</x:v>
      </x:c>
      <x:c r="I12" t="str">
        <x:v>yes</x:v>
      </x:c>
      <x:c r="J12" t="str">
        <x:v>pending</x:v>
      </x:c>
      <x:c r="K12" t="str">
        <x:v>pending</x:v>
      </x:c>
      <x:c r="L12" t="str">
        <x:v>pending</x:v>
      </x:c>
      <x:c r="M12" s="27" t="str"/>
      <x:c r="N12" s="27" t="str"/>
      <x:c r="O12" s="27" t="str"/>
      <x:c r="P12" s="27" t="str"/>
      <x:c r="Q12" s="27" t="str"/>
      <x:c r="R12" s="29" t="str"/>
      <x:c r="S12" s="28" t="n">
        <x:v>600</x:v>
      </x:c>
      <x:c r="T12" s="28" t="n">
        <x:v>0.362400906002265</x:v>
      </x:c>
      <x:c r="U12" s="28" t="n">
        <x:v>0.11681354166666666</x:v>
      </x:c>
      <x:c r="V12" s="30" t="str">
        <x:f>IF(R12="","",R12*U12)</x:f>
      </x:c>
      <x:c r="W12" s="28" t="str"/>
      <x:c r="X12" s="24" t="str">
        <x:f>IF(OR(R12="",W12=""),"",R12/W12)</x:f>
      </x:c>
      <x:c r="Y12" s="27" t="str">
        <x:v>pending</x:v>
      </x:c>
      <x:c r="Z12" s="27" t="str"/>
      <x:c r="AA12" s="27" t="str"/>
      <x:c r="AB12" s="27" t="str"/>
      <x:c r="AC12" s="31" t="str"/>
      <x:c r="AD12" s="31" t="str"/>
      <x:c r="AE12" s="31" t="str"/>
      <x:c r="AF12" s="27" t="str">
        <x:v>pending</x:v>
      </x:c>
      <x:c r="AG12" s="27" t="str">
        <x:v>pending</x:v>
      </x:c>
      <x:c r="AH12" s="27" t="str">
        <x:v>pending</x:v>
      </x:c>
      <x:c r="AI12" s="27" t="n">
        <x:v>1</x:v>
      </x:c>
      <x:c r="AJ12" s="27" t="str"/>
    </x:row>
    <x:row r="13">
      <x:c r="A13" t="str">
        <x:v>phenotype-first-pilot-v1</x:v>
      </x:c>
      <x:c r="B13" t="str">
        <x:v>v4_val_0009</x:v>
      </x:c>
      <x:c r="C13" t="str">
        <x:v>core</x:v>
      </x:c>
      <x:c r="D13" t="str">
        <x:v>R11_0009</x:v>
      </x:c>
      <x:c r="E13" t="str">
        <x:v>R1</x:v>
      </x:c>
      <x:c r="F13" t="n">
        <x:v>1</x:v>
      </x:c>
      <x:c r="G13" t="str"/>
      <x:c r="H13" t="str">
        <x:v>GT01</x:v>
      </x:c>
      <x:c r="I13" t="str">
        <x:v>yes</x:v>
      </x:c>
      <x:c r="J13" t="str">
        <x:v>pending</x:v>
      </x:c>
      <x:c r="K13" t="str">
        <x:v>pending</x:v>
      </x:c>
      <x:c r="L13" t="str">
        <x:v>pending</x:v>
      </x:c>
      <x:c r="M13" s="27" t="str"/>
      <x:c r="N13" s="27" t="str"/>
      <x:c r="O13" s="27" t="str"/>
      <x:c r="P13" s="27" t="str"/>
      <x:c r="Q13" s="27" t="str"/>
      <x:c r="R13" s="29" t="str"/>
      <x:c r="S13" s="28" t="n">
        <x:v>600</x:v>
      </x:c>
      <x:c r="T13" s="28" t="n">
        <x:v>0.9060022650056625</x:v>
      </x:c>
      <x:c r="U13" s="28" t="n">
        <x:v>0.046725416666666665</x:v>
      </x:c>
      <x:c r="V13" s="30" t="str">
        <x:f>IF(R13="","",R13*U13)</x:f>
      </x:c>
      <x:c r="W13" s="28" t="str"/>
      <x:c r="X13" s="24" t="str">
        <x:f>IF(OR(R13="",W13=""),"",R13/W13)</x:f>
      </x:c>
      <x:c r="Y13" s="27" t="str">
        <x:v>pending</x:v>
      </x:c>
      <x:c r="Z13" s="27" t="str"/>
      <x:c r="AA13" s="27" t="str"/>
      <x:c r="AB13" s="27" t="str"/>
      <x:c r="AC13" s="31" t="str"/>
      <x:c r="AD13" s="31" t="str"/>
      <x:c r="AE13" s="31" t="str"/>
      <x:c r="AF13" s="27" t="str">
        <x:v>pending</x:v>
      </x:c>
      <x:c r="AG13" s="27" t="str">
        <x:v>pending</x:v>
      </x:c>
      <x:c r="AH13" s="27" t="str">
        <x:v>pending</x:v>
      </x:c>
      <x:c r="AI13" s="27" t="n">
        <x:v>1</x:v>
      </x:c>
      <x:c r="AJ13" s="27" t="str"/>
    </x:row>
    <x:row r="14">
      <x:c r="A14" t="str">
        <x:v>phenotype-first-pilot-v1</x:v>
      </x:c>
      <x:c r="B14" t="str">
        <x:v>v4_val_0011</x:v>
      </x:c>
      <x:c r="C14" t="str">
        <x:v>core</x:v>
      </x:c>
      <x:c r="D14" t="str">
        <x:v>R11_0011</x:v>
      </x:c>
      <x:c r="E14" t="str">
        <x:v>R1</x:v>
      </x:c>
      <x:c r="F14" t="n">
        <x:v>1</x:v>
      </x:c>
      <x:c r="G14" t="str"/>
      <x:c r="H14" t="str">
        <x:v>GT01</x:v>
      </x:c>
      <x:c r="I14" t="str">
        <x:v>yes</x:v>
      </x:c>
      <x:c r="J14" t="str">
        <x:v>pending</x:v>
      </x:c>
      <x:c r="K14" t="str">
        <x:v>pending</x:v>
      </x:c>
      <x:c r="L14" t="str">
        <x:v>pending</x:v>
      </x:c>
      <x:c r="M14" s="27" t="str"/>
      <x:c r="N14" s="27" t="str"/>
      <x:c r="O14" s="27" t="str"/>
      <x:c r="P14" s="27" t="str"/>
      <x:c r="Q14" s="27" t="str"/>
      <x:c r="R14" s="29" t="str"/>
      <x:c r="S14" s="28" t="n">
        <x:v>600</x:v>
      </x:c>
      <x:c r="T14" s="28" t="n">
        <x:v>0.8154943934760448</x:v>
      </x:c>
      <x:c r="U14" s="28" t="n">
        <x:v>0.051911250000000006</x:v>
      </x:c>
      <x:c r="V14" s="30" t="str">
        <x:f>IF(R14="","",R14*U14)</x:f>
      </x:c>
      <x:c r="W14" s="28" t="str"/>
      <x:c r="X14" s="24" t="str">
        <x:f>IF(OR(R14="",W14=""),"",R14/W14)</x:f>
      </x:c>
      <x:c r="Y14" s="27" t="str">
        <x:v>pending</x:v>
      </x:c>
      <x:c r="Z14" s="27" t="str"/>
      <x:c r="AA14" s="27" t="str"/>
      <x:c r="AB14" s="27" t="str"/>
      <x:c r="AC14" s="31" t="str"/>
      <x:c r="AD14" s="31" t="str"/>
      <x:c r="AE14" s="31" t="str"/>
      <x:c r="AF14" s="27" t="str">
        <x:v>pending</x:v>
      </x:c>
      <x:c r="AG14" s="27" t="str">
        <x:v>pending</x:v>
      </x:c>
      <x:c r="AH14" s="27" t="str">
        <x:v>pending</x:v>
      </x:c>
      <x:c r="AI14" s="27" t="n">
        <x:v>1</x:v>
      </x:c>
      <x:c r="AJ14" s="27" t="str"/>
    </x:row>
    <x:row r="15">
      <x:c r="A15" t="str">
        <x:v>phenotype-first-pilot-v1</x:v>
      </x:c>
      <x:c r="B15" t="str">
        <x:v>v4_val_0011</x:v>
      </x:c>
      <x:c r="C15" t="str">
        <x:v>core</x:v>
      </x:c>
      <x:c r="D15" t="str">
        <x:v>R11_0011</x:v>
      </x:c>
      <x:c r="E15" t="str">
        <x:v>R1</x:v>
      </x:c>
      <x:c r="F15" t="n">
        <x:v>1</x:v>
      </x:c>
      <x:c r="G15" t="str"/>
      <x:c r="H15" t="str">
        <x:v>GT02</x:v>
      </x:c>
      <x:c r="I15" t="str">
        <x:v>yes</x:v>
      </x:c>
      <x:c r="J15" t="str">
        <x:v>pending</x:v>
      </x:c>
      <x:c r="K15" t="str">
        <x:v>pending</x:v>
      </x:c>
      <x:c r="L15" t="str">
        <x:v>pending</x:v>
      </x:c>
      <x:c r="M15" s="27" t="str"/>
      <x:c r="N15" s="27" t="str"/>
      <x:c r="O15" s="27" t="str"/>
      <x:c r="P15" s="27" t="str"/>
      <x:c r="Q15" s="27" t="str"/>
      <x:c r="R15" s="29" t="str"/>
      <x:c r="S15" s="28" t="n">
        <x:v>600</x:v>
      </x:c>
      <x:c r="T15" s="28" t="n">
        <x:v>0.8154943934760448</x:v>
      </x:c>
      <x:c r="U15" s="28" t="n">
        <x:v>0.051911250000000006</x:v>
      </x:c>
      <x:c r="V15" s="30" t="str">
        <x:f>IF(R15="","",R15*U15)</x:f>
      </x:c>
      <x:c r="W15" s="28" t="str"/>
      <x:c r="X15" s="24" t="str">
        <x:f>IF(OR(R15="",W15=""),"",R15/W15)</x:f>
      </x:c>
      <x:c r="Y15" s="27" t="str">
        <x:v>pending</x:v>
      </x:c>
      <x:c r="Z15" s="27" t="str"/>
      <x:c r="AA15" s="27" t="str"/>
      <x:c r="AB15" s="27" t="str"/>
      <x:c r="AC15" s="31" t="str"/>
      <x:c r="AD15" s="31" t="str"/>
      <x:c r="AE15" s="31" t="str"/>
      <x:c r="AF15" s="27" t="str">
        <x:v>pending</x:v>
      </x:c>
      <x:c r="AG15" s="27" t="str">
        <x:v>pending</x:v>
      </x:c>
      <x:c r="AH15" s="27" t="str">
        <x:v>pending</x:v>
      </x:c>
      <x:c r="AI15" s="27" t="n">
        <x:v>1</x:v>
      </x:c>
      <x:c r="AJ15" s="27" t="str"/>
    </x:row>
    <x:row r="16">
      <x:c r="A16" t="str">
        <x:v>phenotype-first-pilot-v1</x:v>
      </x:c>
      <x:c r="B16" t="str">
        <x:v>v4_val_0016</x:v>
      </x:c>
      <x:c r="C16" t="str">
        <x:v>core</x:v>
      </x:c>
      <x:c r="D16" t="str">
        <x:v>R11_0016</x:v>
      </x:c>
      <x:c r="E16" t="str">
        <x:v>R1</x:v>
      </x:c>
      <x:c r="F16" t="n">
        <x:v>1</x:v>
      </x:c>
      <x:c r="G16" t="str"/>
      <x:c r="H16" t="str">
        <x:v>GT01</x:v>
      </x:c>
      <x:c r="I16" t="str">
        <x:v>yes</x:v>
      </x:c>
      <x:c r="J16" t="str">
        <x:v>pending</x:v>
      </x:c>
      <x:c r="K16" t="str">
        <x:v>pending</x:v>
      </x:c>
      <x:c r="L16" t="str">
        <x:v>pending</x:v>
      </x:c>
      <x:c r="M16" s="27" t="str"/>
      <x:c r="N16" s="27" t="str"/>
      <x:c r="O16" s="27" t="str"/>
      <x:c r="P16" s="27" t="str"/>
      <x:c r="Q16" s="27" t="str"/>
      <x:c r="R16" s="29" t="str"/>
      <x:c r="S16" s="28" t="n">
        <x:v>600</x:v>
      </x:c>
      <x:c r="T16" s="28" t="n">
        <x:v>0.4935225169648365</x:v>
      </x:c>
      <x:c r="U16" s="28" t="n">
        <x:v>0.08577791666666666</x:v>
      </x:c>
      <x:c r="V16" s="30" t="str">
        <x:f>IF(R16="","",R16*U16)</x:f>
      </x:c>
      <x:c r="W16" s="28" t="str"/>
      <x:c r="X16" s="24" t="str">
        <x:f>IF(OR(R16="",W16=""),"",R16/W16)</x:f>
      </x:c>
      <x:c r="Y16" s="27" t="str">
        <x:v>pending</x:v>
      </x:c>
      <x:c r="Z16" s="27" t="str"/>
      <x:c r="AA16" s="27" t="str"/>
      <x:c r="AB16" s="27" t="str"/>
      <x:c r="AC16" s="31" t="str"/>
      <x:c r="AD16" s="31" t="str"/>
      <x:c r="AE16" s="31" t="str"/>
      <x:c r="AF16" s="27" t="str">
        <x:v>pending</x:v>
      </x:c>
      <x:c r="AG16" s="27" t="str">
        <x:v>pending</x:v>
      </x:c>
      <x:c r="AH16" s="27" t="str">
        <x:v>pending</x:v>
      </x:c>
      <x:c r="AI16" s="27" t="n">
        <x:v>1</x:v>
      </x:c>
      <x:c r="AJ16" s="27" t="str"/>
    </x:row>
    <x:row r="17">
      <x:c r="A17" t="str">
        <x:v>phenotype-first-pilot-v1</x:v>
      </x:c>
      <x:c r="B17" t="str">
        <x:v>v4_val_0016</x:v>
      </x:c>
      <x:c r="C17" t="str">
        <x:v>core</x:v>
      </x:c>
      <x:c r="D17" t="str">
        <x:v>R11_0016</x:v>
      </x:c>
      <x:c r="E17" t="str">
        <x:v>R1</x:v>
      </x:c>
      <x:c r="F17" t="n">
        <x:v>1</x:v>
      </x:c>
      <x:c r="G17" t="str"/>
      <x:c r="H17" t="str">
        <x:v>GT02</x:v>
      </x:c>
      <x:c r="I17" t="str">
        <x:v>yes</x:v>
      </x:c>
      <x:c r="J17" t="str">
        <x:v>pending</x:v>
      </x:c>
      <x:c r="K17" t="str">
        <x:v>pending</x:v>
      </x:c>
      <x:c r="L17" t="str">
        <x:v>pending</x:v>
      </x:c>
      <x:c r="M17" s="27" t="str"/>
      <x:c r="N17" s="27" t="str"/>
      <x:c r="O17" s="27" t="str"/>
      <x:c r="P17" s="27" t="str"/>
      <x:c r="Q17" s="27" t="str"/>
      <x:c r="R17" s="29" t="str"/>
      <x:c r="S17" s="28" t="n">
        <x:v>600</x:v>
      </x:c>
      <x:c r="T17" s="28" t="n">
        <x:v>0.4935225169648365</x:v>
      </x:c>
      <x:c r="U17" s="28" t="n">
        <x:v>0.08577791666666666</x:v>
      </x:c>
      <x:c r="V17" s="30" t="str">
        <x:f>IF(R17="","",R17*U17)</x:f>
      </x:c>
      <x:c r="W17" s="28" t="str"/>
      <x:c r="X17" s="24" t="str">
        <x:f>IF(OR(R17="",W17=""),"",R17/W17)</x:f>
      </x:c>
      <x:c r="Y17" s="27" t="str">
        <x:v>pending</x:v>
      </x:c>
      <x:c r="Z17" s="27" t="str"/>
      <x:c r="AA17" s="27" t="str"/>
      <x:c r="AB17" s="27" t="str"/>
      <x:c r="AC17" s="31" t="str"/>
      <x:c r="AD17" s="31" t="str"/>
      <x:c r="AE17" s="31" t="str"/>
      <x:c r="AF17" s="27" t="str">
        <x:v>pending</x:v>
      </x:c>
      <x:c r="AG17" s="27" t="str">
        <x:v>pending</x:v>
      </x:c>
      <x:c r="AH17" s="27" t="str">
        <x:v>pending</x:v>
      </x:c>
      <x:c r="AI17" s="27" t="n">
        <x:v>1</x:v>
      </x:c>
      <x:c r="AJ17" s="27" t="str"/>
    </x:row>
    <x:row r="18">
      <x:c r="A18" t="str">
        <x:v>phenotype-first-pilot-v1</x:v>
      </x:c>
      <x:c r="B18" t="str">
        <x:v>v4_val_0018</x:v>
      </x:c>
      <x:c r="C18" t="str">
        <x:v>diagnostic</x:v>
      </x:c>
      <x:c r="D18" t="str">
        <x:v>R11_0018</x:v>
      </x:c>
      <x:c r="E18" t="str">
        <x:v>R1</x:v>
      </x:c>
      <x:c r="F18" t="n">
        <x:v>1</x:v>
      </x:c>
      <x:c r="G18" t="str"/>
      <x:c r="H18" t="str">
        <x:v>GT01</x:v>
      </x:c>
      <x:c r="I18" t="str">
        <x:v>yes</x:v>
      </x:c>
      <x:c r="J18" t="str">
        <x:v>pending</x:v>
      </x:c>
      <x:c r="K18" t="str">
        <x:v>pending</x:v>
      </x:c>
      <x:c r="L18" t="str">
        <x:v>pending</x:v>
      </x:c>
      <x:c r="M18" s="27" t="str"/>
      <x:c r="N18" s="27" t="str"/>
      <x:c r="O18" s="27" t="str"/>
      <x:c r="P18" s="27" t="str"/>
      <x:c r="Q18" s="27" t="str"/>
      <x:c r="R18" s="29" t="str"/>
      <x:c r="S18" s="28" t="n">
        <x:v>600</x:v>
      </x:c>
      <x:c r="T18" s="28" t="n">
        <x:v>0.516295579219103</x:v>
      </x:c>
      <x:c r="U18" s="28" t="n">
        <x:v>0.081994375</x:v>
      </x:c>
      <x:c r="V18" s="30" t="str">
        <x:f>IF(R18="","",R18*U18)</x:f>
      </x:c>
      <x:c r="W18" s="28" t="str"/>
      <x:c r="X18" s="24" t="str">
        <x:f>IF(OR(R18="",W18=""),"",R18/W18)</x:f>
      </x:c>
      <x:c r="Y18" s="27" t="str">
        <x:v>pending</x:v>
      </x:c>
      <x:c r="Z18" s="27" t="str"/>
      <x:c r="AA18" s="27" t="str"/>
      <x:c r="AB18" s="27" t="str"/>
      <x:c r="AC18" s="31" t="str"/>
      <x:c r="AD18" s="31" t="str"/>
      <x:c r="AE18" s="31" t="str"/>
      <x:c r="AF18" s="27" t="str">
        <x:v>pending</x:v>
      </x:c>
      <x:c r="AG18" s="27" t="str">
        <x:v>pending</x:v>
      </x:c>
      <x:c r="AH18" s="27" t="str">
        <x:v>pending</x:v>
      </x:c>
      <x:c r="AI18" s="27" t="n">
        <x:v>1</x:v>
      </x:c>
      <x:c r="AJ18" s="27" t="str"/>
    </x:row>
    <x:row r="19">
      <x:c r="A19" t="str">
        <x:v>phenotype-first-pilot-v1</x:v>
      </x:c>
      <x:c r="B19" t="str">
        <x:v>v4_val_0018</x:v>
      </x:c>
      <x:c r="C19" t="str">
        <x:v>diagnostic</x:v>
      </x:c>
      <x:c r="D19" t="str">
        <x:v>R11_0018</x:v>
      </x:c>
      <x:c r="E19" t="str">
        <x:v>R1</x:v>
      </x:c>
      <x:c r="F19" t="n">
        <x:v>1</x:v>
      </x:c>
      <x:c r="G19" t="str"/>
      <x:c r="H19" t="str">
        <x:v>GT02</x:v>
      </x:c>
      <x:c r="I19" t="str">
        <x:v>yes</x:v>
      </x:c>
      <x:c r="J19" t="str">
        <x:v>pending</x:v>
      </x:c>
      <x:c r="K19" t="str">
        <x:v>pending</x:v>
      </x:c>
      <x:c r="L19" t="str">
        <x:v>pending</x:v>
      </x:c>
      <x:c r="M19" s="27" t="str"/>
      <x:c r="N19" s="27" t="str"/>
      <x:c r="O19" s="27" t="str"/>
      <x:c r="P19" s="27" t="str"/>
      <x:c r="Q19" s="27" t="str"/>
      <x:c r="R19" s="29" t="str"/>
      <x:c r="S19" s="28" t="n">
        <x:v>600</x:v>
      </x:c>
      <x:c r="T19" s="28" t="n">
        <x:v>0.516295579219103</x:v>
      </x:c>
      <x:c r="U19" s="28" t="n">
        <x:v>0.081994375</x:v>
      </x:c>
      <x:c r="V19" s="30" t="str">
        <x:f>IF(R19="","",R19*U19)</x:f>
      </x:c>
      <x:c r="W19" s="28" t="str"/>
      <x:c r="X19" s="24" t="str">
        <x:f>IF(OR(R19="",W19=""),"",R19/W19)</x:f>
      </x:c>
      <x:c r="Y19" s="27" t="str">
        <x:v>pending</x:v>
      </x:c>
      <x:c r="Z19" s="27" t="str"/>
      <x:c r="AA19" s="27" t="str"/>
      <x:c r="AB19" s="27" t="str"/>
      <x:c r="AC19" s="31" t="str"/>
      <x:c r="AD19" s="31" t="str"/>
      <x:c r="AE19" s="31" t="str"/>
      <x:c r="AF19" s="27" t="str">
        <x:v>pending</x:v>
      </x:c>
      <x:c r="AG19" s="27" t="str">
        <x:v>pending</x:v>
      </x:c>
      <x:c r="AH19" s="27" t="str">
        <x:v>pending</x:v>
      </x:c>
      <x:c r="AI19" s="27" t="n">
        <x:v>1</x:v>
      </x:c>
      <x:c r="AJ19" s="27" t="str"/>
    </x:row>
    <x:row r="20">
      <x:c r="A20" t="str">
        <x:v>phenotype-first-pilot-v1</x:v>
      </x:c>
      <x:c r="B20" t="str">
        <x:v>v4_val_0018</x:v>
      </x:c>
      <x:c r="C20" t="str">
        <x:v>diagnostic</x:v>
      </x:c>
      <x:c r="D20" t="str">
        <x:v>R11_0018</x:v>
      </x:c>
      <x:c r="E20" t="str">
        <x:v>R1</x:v>
      </x:c>
      <x:c r="F20" t="n">
        <x:v>1</x:v>
      </x:c>
      <x:c r="G20" t="str"/>
      <x:c r="H20" t="str">
        <x:v>GT03</x:v>
      </x:c>
      <x:c r="I20" t="str">
        <x:v>yes</x:v>
      </x:c>
      <x:c r="J20" t="str">
        <x:v>pending</x:v>
      </x:c>
      <x:c r="K20" t="str">
        <x:v>pending</x:v>
      </x:c>
      <x:c r="L20" t="str">
        <x:v>pending</x:v>
      </x:c>
      <x:c r="M20" s="27" t="str"/>
      <x:c r="N20" s="27" t="str"/>
      <x:c r="O20" s="27" t="str"/>
      <x:c r="P20" s="27" t="str"/>
      <x:c r="Q20" s="27" t="str"/>
      <x:c r="R20" s="29" t="str"/>
      <x:c r="S20" s="28" t="n">
        <x:v>600</x:v>
      </x:c>
      <x:c r="T20" s="28" t="n">
        <x:v>0.516295579219103</x:v>
      </x:c>
      <x:c r="U20" s="28" t="n">
        <x:v>0.081994375</x:v>
      </x:c>
      <x:c r="V20" s="30" t="str">
        <x:f>IF(R20="","",R20*U20)</x:f>
      </x:c>
      <x:c r="W20" s="28" t="str"/>
      <x:c r="X20" s="24" t="str">
        <x:f>IF(OR(R20="",W20=""),"",R20/W20)</x:f>
      </x:c>
      <x:c r="Y20" s="27" t="str">
        <x:v>pending</x:v>
      </x:c>
      <x:c r="Z20" s="27" t="str"/>
      <x:c r="AA20" s="27" t="str"/>
      <x:c r="AB20" s="27" t="str"/>
      <x:c r="AC20" s="31" t="str"/>
      <x:c r="AD20" s="31" t="str"/>
      <x:c r="AE20" s="31" t="str"/>
      <x:c r="AF20" s="27" t="str">
        <x:v>pending</x:v>
      </x:c>
      <x:c r="AG20" s="27" t="str">
        <x:v>pending</x:v>
      </x:c>
      <x:c r="AH20" s="27" t="str">
        <x:v>pending</x:v>
      </x:c>
      <x:c r="AI20" s="27" t="n">
        <x:v>1</x:v>
      </x:c>
      <x:c r="AJ20" s="27" t="str"/>
    </x:row>
    <x:row r="21">
      <x:c r="A21" t="str">
        <x:v>phenotype-first-pilot-v1</x:v>
      </x:c>
      <x:c r="B21" t="str">
        <x:v>v4_val_0020</x:v>
      </x:c>
      <x:c r="C21" t="str">
        <x:v>core</x:v>
      </x:c>
      <x:c r="D21" t="str">
        <x:v>R11_0020</x:v>
      </x:c>
      <x:c r="E21" t="str">
        <x:v>R1</x:v>
      </x:c>
      <x:c r="F21" t="n">
        <x:v>1</x:v>
      </x:c>
      <x:c r="G21" t="str"/>
      <x:c r="H21" t="str">
        <x:v>GT01</x:v>
      </x:c>
      <x:c r="I21" t="str">
        <x:v>yes</x:v>
      </x:c>
      <x:c r="J21" t="str">
        <x:v>pending</x:v>
      </x:c>
      <x:c r="K21" t="str">
        <x:v>pending</x:v>
      </x:c>
      <x:c r="L21" t="str">
        <x:v>pending</x:v>
      </x:c>
      <x:c r="M21" s="27" t="str"/>
      <x:c r="N21" s="27" t="str"/>
      <x:c r="O21" s="27" t="str"/>
      <x:c r="P21" s="27" t="str"/>
      <x:c r="Q21" s="27" t="str"/>
      <x:c r="R21" s="29" t="str"/>
      <x:c r="S21" s="28" t="n">
        <x:v>600</x:v>
      </x:c>
      <x:c r="T21" s="28" t="n">
        <x:v>0.4554511813265016</x:v>
      </x:c>
      <x:c r="U21" s="28" t="n">
        <x:v>0.09294812499999999</x:v>
      </x:c>
      <x:c r="V21" s="30" t="str">
        <x:f>IF(R21="","",R21*U21)</x:f>
      </x:c>
      <x:c r="W21" s="28" t="str"/>
      <x:c r="X21" s="24" t="str">
        <x:f>IF(OR(R21="",W21=""),"",R21/W21)</x:f>
      </x:c>
      <x:c r="Y21" s="27" t="str">
        <x:v>pending</x:v>
      </x:c>
      <x:c r="Z21" s="27" t="str"/>
      <x:c r="AA21" s="27" t="str"/>
      <x:c r="AB21" s="27" t="str"/>
      <x:c r="AC21" s="31" t="str"/>
      <x:c r="AD21" s="31" t="str"/>
      <x:c r="AE21" s="31" t="str"/>
      <x:c r="AF21" s="27" t="str">
        <x:v>pending</x:v>
      </x:c>
      <x:c r="AG21" s="27" t="str">
        <x:v>pending</x:v>
      </x:c>
      <x:c r="AH21" s="27" t="str">
        <x:v>pending</x:v>
      </x:c>
      <x:c r="AI21" s="27" t="n">
        <x:v>1</x:v>
      </x:c>
      <x:c r="AJ21" s="27" t="str"/>
    </x:row>
    <x:row r="22">
      <x:c r="A22" t="str">
        <x:v>phenotype-first-pilot-v1</x:v>
      </x:c>
      <x:c r="B22" t="str">
        <x:v>v4_val_0020</x:v>
      </x:c>
      <x:c r="C22" t="str">
        <x:v>core</x:v>
      </x:c>
      <x:c r="D22" t="str">
        <x:v>R11_0020</x:v>
      </x:c>
      <x:c r="E22" t="str">
        <x:v>R1</x:v>
      </x:c>
      <x:c r="F22" t="n">
        <x:v>1</x:v>
      </x:c>
      <x:c r="G22" t="str"/>
      <x:c r="H22" t="str">
        <x:v>GT02</x:v>
      </x:c>
      <x:c r="I22" t="str">
        <x:v>yes</x:v>
      </x:c>
      <x:c r="J22" t="str">
        <x:v>pending</x:v>
      </x:c>
      <x:c r="K22" t="str">
        <x:v>pending</x:v>
      </x:c>
      <x:c r="L22" t="str">
        <x:v>pending</x:v>
      </x:c>
      <x:c r="M22" s="27" t="str"/>
      <x:c r="N22" s="27" t="str"/>
      <x:c r="O22" s="27" t="str"/>
      <x:c r="P22" s="27" t="str"/>
      <x:c r="Q22" s="27" t="str"/>
      <x:c r="R22" s="29" t="str"/>
      <x:c r="S22" s="28" t="n">
        <x:v>600</x:v>
      </x:c>
      <x:c r="T22" s="28" t="n">
        <x:v>0.4554511813265016</x:v>
      </x:c>
      <x:c r="U22" s="28" t="n">
        <x:v>0.09294812499999999</x:v>
      </x:c>
      <x:c r="V22" s="30" t="str">
        <x:f>IF(R22="","",R22*U22)</x:f>
      </x:c>
      <x:c r="W22" s="28" t="str"/>
      <x:c r="X22" s="24" t="str">
        <x:f>IF(OR(R22="",W22=""),"",R22/W22)</x:f>
      </x:c>
      <x:c r="Y22" s="27" t="str">
        <x:v>pending</x:v>
      </x:c>
      <x:c r="Z22" s="27" t="str"/>
      <x:c r="AA22" s="27" t="str"/>
      <x:c r="AB22" s="27" t="str"/>
      <x:c r="AC22" s="31" t="str"/>
      <x:c r="AD22" s="31" t="str"/>
      <x:c r="AE22" s="31" t="str"/>
      <x:c r="AF22" s="27" t="str">
        <x:v>pending</x:v>
      </x:c>
      <x:c r="AG22" s="27" t="str">
        <x:v>pending</x:v>
      </x:c>
      <x:c r="AH22" s="27" t="str">
        <x:v>pending</x:v>
      </x:c>
      <x:c r="AI22" s="27" t="n">
        <x:v>1</x:v>
      </x:c>
      <x:c r="AJ22" s="27" t="str"/>
    </x:row>
    <x:row r="23">
      <x:c r="A23" t="str">
        <x:v>phenotype-first-pilot-v1</x:v>
      </x:c>
      <x:c r="B23" t="str">
        <x:v>v4_val_0020</x:v>
      </x:c>
      <x:c r="C23" t="str">
        <x:v>core</x:v>
      </x:c>
      <x:c r="D23" t="str">
        <x:v>R11_0020</x:v>
      </x:c>
      <x:c r="E23" t="str">
        <x:v>R1</x:v>
      </x:c>
      <x:c r="F23" t="n">
        <x:v>1</x:v>
      </x:c>
      <x:c r="G23" t="str"/>
      <x:c r="H23" t="str">
        <x:v>GT03</x:v>
      </x:c>
      <x:c r="I23" t="str">
        <x:v>yes</x:v>
      </x:c>
      <x:c r="J23" t="str">
        <x:v>pending</x:v>
      </x:c>
      <x:c r="K23" t="str">
        <x:v>pending</x:v>
      </x:c>
      <x:c r="L23" t="str">
        <x:v>pending</x:v>
      </x:c>
      <x:c r="M23" s="27" t="str"/>
      <x:c r="N23" s="27" t="str"/>
      <x:c r="O23" s="27" t="str"/>
      <x:c r="P23" s="27" t="str"/>
      <x:c r="Q23" s="27" t="str"/>
      <x:c r="R23" s="29" t="str"/>
      <x:c r="S23" s="28" t="n">
        <x:v>600</x:v>
      </x:c>
      <x:c r="T23" s="28" t="n">
        <x:v>0.4554511813265016</x:v>
      </x:c>
      <x:c r="U23" s="28" t="n">
        <x:v>0.09294812499999999</x:v>
      </x:c>
      <x:c r="V23" s="30" t="str">
        <x:f>IF(R23="","",R23*U23)</x:f>
      </x:c>
      <x:c r="W23" s="28" t="str"/>
      <x:c r="X23" s="24" t="str">
        <x:f>IF(OR(R23="",W23=""),"",R23/W23)</x:f>
      </x:c>
      <x:c r="Y23" s="27" t="str">
        <x:v>pending</x:v>
      </x:c>
      <x:c r="Z23" s="27" t="str"/>
      <x:c r="AA23" s="27" t="str"/>
      <x:c r="AB23" s="27" t="str"/>
      <x:c r="AC23" s="31" t="str"/>
      <x:c r="AD23" s="31" t="str"/>
      <x:c r="AE23" s="31" t="str"/>
      <x:c r="AF23" s="27" t="str">
        <x:v>pending</x:v>
      </x:c>
      <x:c r="AG23" s="27" t="str">
        <x:v>pending</x:v>
      </x:c>
      <x:c r="AH23" s="27" t="str">
        <x:v>pending</x:v>
      </x:c>
      <x:c r="AI23" s="27" t="n">
        <x:v>1</x:v>
      </x:c>
      <x:c r="AJ23" s="27" t="str"/>
    </x:row>
    <x:row r="24">
      <x:c r="A24" t="str">
        <x:v>phenotype-first-pilot-v1</x:v>
      </x:c>
      <x:c r="B24" t="str">
        <x:v>v4_val_0023</x:v>
      </x:c>
      <x:c r="C24" t="str">
        <x:v>diagnostic</x:v>
      </x:c>
      <x:c r="D24" t="str">
        <x:v>R11_0023</x:v>
      </x:c>
      <x:c r="E24" t="str">
        <x:v>R1</x:v>
      </x:c>
      <x:c r="F24" t="n">
        <x:v>1</x:v>
      </x:c>
      <x:c r="G24" t="str"/>
      <x:c r="H24" t="str">
        <x:v>GT01</x:v>
      </x:c>
      <x:c r="I24" t="str">
        <x:v>yes</x:v>
      </x:c>
      <x:c r="J24" t="str">
        <x:v>pending</x:v>
      </x:c>
      <x:c r="K24" t="str">
        <x:v>pending</x:v>
      </x:c>
      <x:c r="L24" t="str">
        <x:v>pending</x:v>
      </x:c>
      <x:c r="M24" s="27" t="str"/>
      <x:c r="N24" s="27" t="str"/>
      <x:c r="O24" s="27" t="str"/>
      <x:c r="P24" s="27" t="str"/>
      <x:c r="Q24" s="27" t="str"/>
      <x:c r="R24" s="29" t="str"/>
      <x:c r="S24" s="28" t="n">
        <x:v>600</x:v>
      </x:c>
      <x:c r="T24" s="28" t="n">
        <x:v>0.3442340791738382</x:v>
      </x:c>
      <x:c r="U24" s="28" t="n">
        <x:v>0.12297833333333334</x:v>
      </x:c>
      <x:c r="V24" s="30" t="str">
        <x:f>IF(R24="","",R24*U24)</x:f>
      </x:c>
      <x:c r="W24" s="28" t="str"/>
      <x:c r="X24" s="24" t="str">
        <x:f>IF(OR(R24="",W24=""),"",R24/W24)</x:f>
      </x:c>
      <x:c r="Y24" s="27" t="str">
        <x:v>pending</x:v>
      </x:c>
      <x:c r="Z24" s="27" t="str"/>
      <x:c r="AA24" s="27" t="str"/>
      <x:c r="AB24" s="27" t="str"/>
      <x:c r="AC24" s="31" t="str"/>
      <x:c r="AD24" s="31" t="str"/>
      <x:c r="AE24" s="31" t="str"/>
      <x:c r="AF24" s="27" t="str">
        <x:v>pending</x:v>
      </x:c>
      <x:c r="AG24" s="27" t="str">
        <x:v>pending</x:v>
      </x:c>
      <x:c r="AH24" s="27" t="str">
        <x:v>pending</x:v>
      </x:c>
      <x:c r="AI24" s="27" t="n">
        <x:v>1</x:v>
      </x:c>
      <x:c r="AJ24" s="27" t="str"/>
    </x:row>
    <x:row r="25">
      <x:c r="A25" t="str">
        <x:v>phenotype-first-pilot-v1</x:v>
      </x:c>
      <x:c r="B25" t="str">
        <x:v>v4_val_0023</x:v>
      </x:c>
      <x:c r="C25" t="str">
        <x:v>diagnostic</x:v>
      </x:c>
      <x:c r="D25" t="str">
        <x:v>R11_0023</x:v>
      </x:c>
      <x:c r="E25" t="str">
        <x:v>R1</x:v>
      </x:c>
      <x:c r="F25" t="n">
        <x:v>1</x:v>
      </x:c>
      <x:c r="G25" t="str"/>
      <x:c r="H25" t="str">
        <x:v>GT02</x:v>
      </x:c>
      <x:c r="I25" t="str">
        <x:v>yes</x:v>
      </x:c>
      <x:c r="J25" t="str">
        <x:v>pending</x:v>
      </x:c>
      <x:c r="K25" t="str">
        <x:v>pending</x:v>
      </x:c>
      <x:c r="L25" t="str">
        <x:v>pending</x:v>
      </x:c>
      <x:c r="M25" s="27" t="str"/>
      <x:c r="N25" s="27" t="str"/>
      <x:c r="O25" s="27" t="str"/>
      <x:c r="P25" s="27" t="str"/>
      <x:c r="Q25" s="27" t="str"/>
      <x:c r="R25" s="29" t="str"/>
      <x:c r="S25" s="28" t="n">
        <x:v>600</x:v>
      </x:c>
      <x:c r="T25" s="28" t="n">
        <x:v>0.3442340791738382</x:v>
      </x:c>
      <x:c r="U25" s="28" t="n">
        <x:v>0.12297833333333334</x:v>
      </x:c>
      <x:c r="V25" s="30" t="str">
        <x:f>IF(R25="","",R25*U25)</x:f>
      </x:c>
      <x:c r="W25" s="28" t="str"/>
      <x:c r="X25" s="24" t="str">
        <x:f>IF(OR(R25="",W25=""),"",R25/W25)</x:f>
      </x:c>
      <x:c r="Y25" s="27" t="str">
        <x:v>pending</x:v>
      </x:c>
      <x:c r="Z25" s="27" t="str"/>
      <x:c r="AA25" s="27" t="str"/>
      <x:c r="AB25" s="27" t="str"/>
      <x:c r="AC25" s="31" t="str"/>
      <x:c r="AD25" s="31" t="str"/>
      <x:c r="AE25" s="31" t="str"/>
      <x:c r="AF25" s="27" t="str">
        <x:v>pending</x:v>
      </x:c>
      <x:c r="AG25" s="27" t="str">
        <x:v>pending</x:v>
      </x:c>
      <x:c r="AH25" s="27" t="str">
        <x:v>pending</x:v>
      </x:c>
      <x:c r="AI25" s="27" t="n">
        <x:v>1</x:v>
      </x:c>
      <x:c r="AJ25" s="27" t="str"/>
    </x:row>
    <x:row r="26">
      <x:c r="A26" t="str">
        <x:v>phenotype-first-pilot-v1</x:v>
      </x:c>
      <x:c r="B26" t="str">
        <x:v>v4_val_0027</x:v>
      </x:c>
      <x:c r="C26" t="str">
        <x:v>core</x:v>
      </x:c>
      <x:c r="D26" t="str">
        <x:v>R11_0027</x:v>
      </x:c>
      <x:c r="E26" t="str">
        <x:v>R1</x:v>
      </x:c>
      <x:c r="F26" t="n">
        <x:v>1</x:v>
      </x:c>
      <x:c r="G26" t="str"/>
      <x:c r="H26" t="str">
        <x:v>GT01</x:v>
      </x:c>
      <x:c r="I26" t="str">
        <x:v>yes</x:v>
      </x:c>
      <x:c r="J26" t="str">
        <x:v>pending</x:v>
      </x:c>
      <x:c r="K26" t="str">
        <x:v>pending</x:v>
      </x:c>
      <x:c r="L26" t="str">
        <x:v>pending</x:v>
      </x:c>
      <x:c r="M26" s="27" t="str"/>
      <x:c r="N26" s="27" t="str"/>
      <x:c r="O26" s="27" t="str"/>
      <x:c r="P26" s="27" t="str"/>
      <x:c r="Q26" s="27" t="str"/>
      <x:c r="R26" s="29" t="str"/>
      <x:c r="S26" s="28" t="n">
        <x:v>600</x:v>
      </x:c>
      <x:c r="T26" s="28" t="n">
        <x:v>0.3902439024390244</x:v>
      </x:c>
      <x:c r="U26" s="28" t="n">
        <x:v>0.10847916666666665</x:v>
      </x:c>
      <x:c r="V26" s="30" t="str">
        <x:f>IF(R26="","",R26*U26)</x:f>
      </x:c>
      <x:c r="W26" s="28" t="str"/>
      <x:c r="X26" s="24" t="str">
        <x:f>IF(OR(R26="",W26=""),"",R26/W26)</x:f>
      </x:c>
      <x:c r="Y26" s="27" t="str">
        <x:v>pending</x:v>
      </x:c>
      <x:c r="Z26" s="27" t="str"/>
      <x:c r="AA26" s="27" t="str"/>
      <x:c r="AB26" s="27" t="str"/>
      <x:c r="AC26" s="31" t="str"/>
      <x:c r="AD26" s="31" t="str"/>
      <x:c r="AE26" s="31" t="str"/>
      <x:c r="AF26" s="27" t="str">
        <x:v>pending</x:v>
      </x:c>
      <x:c r="AG26" s="27" t="str">
        <x:v>pending</x:v>
      </x:c>
      <x:c r="AH26" s="27" t="str">
        <x:v>pending</x:v>
      </x:c>
      <x:c r="AI26" s="27" t="n">
        <x:v>1</x:v>
      </x:c>
      <x:c r="AJ26" s="27" t="str"/>
    </x:row>
    <x:row r="27">
      <x:c r="A27" t="str">
        <x:v>phenotype-first-pilot-v1</x:v>
      </x:c>
      <x:c r="B27" t="str">
        <x:v>v4_val_0027</x:v>
      </x:c>
      <x:c r="C27" t="str">
        <x:v>core</x:v>
      </x:c>
      <x:c r="D27" t="str">
        <x:v>R11_0027</x:v>
      </x:c>
      <x:c r="E27" t="str">
        <x:v>R1</x:v>
      </x:c>
      <x:c r="F27" t="n">
        <x:v>1</x:v>
      </x:c>
      <x:c r="G27" t="str"/>
      <x:c r="H27" t="str">
        <x:v>GT02</x:v>
      </x:c>
      <x:c r="I27" t="str">
        <x:v>yes</x:v>
      </x:c>
      <x:c r="J27" t="str">
        <x:v>pending</x:v>
      </x:c>
      <x:c r="K27" t="str">
        <x:v>pending</x:v>
      </x:c>
      <x:c r="L27" t="str">
        <x:v>pending</x:v>
      </x:c>
      <x:c r="M27" s="27" t="str"/>
      <x:c r="N27" s="27" t="str"/>
      <x:c r="O27" s="27" t="str"/>
      <x:c r="P27" s="27" t="str"/>
      <x:c r="Q27" s="27" t="str"/>
      <x:c r="R27" s="29" t="str"/>
      <x:c r="S27" s="28" t="n">
        <x:v>600</x:v>
      </x:c>
      <x:c r="T27" s="28" t="n">
        <x:v>0.3902439024390244</x:v>
      </x:c>
      <x:c r="U27" s="28" t="n">
        <x:v>0.10847916666666665</x:v>
      </x:c>
      <x:c r="V27" s="30" t="str">
        <x:f>IF(R27="","",R27*U27)</x:f>
      </x:c>
      <x:c r="W27" s="28" t="str"/>
      <x:c r="X27" s="24" t="str">
        <x:f>IF(OR(R27="",W27=""),"",R27/W27)</x:f>
      </x:c>
      <x:c r="Y27" s="27" t="str">
        <x:v>pending</x:v>
      </x:c>
      <x:c r="Z27" s="27" t="str"/>
      <x:c r="AA27" s="27" t="str"/>
      <x:c r="AB27" s="27" t="str"/>
      <x:c r="AC27" s="31" t="str"/>
      <x:c r="AD27" s="31" t="str"/>
      <x:c r="AE27" s="31" t="str"/>
      <x:c r="AF27" s="27" t="str">
        <x:v>pending</x:v>
      </x:c>
      <x:c r="AG27" s="27" t="str">
        <x:v>pending</x:v>
      </x:c>
      <x:c r="AH27" s="27" t="str">
        <x:v>pending</x:v>
      </x:c>
      <x:c r="AI27" s="27" t="n">
        <x:v>1</x:v>
      </x:c>
      <x:c r="AJ27" s="27" t="str"/>
    </x:row>
    <x:row r="28">
      <x:c r="A28" t="str">
        <x:v>phenotype-first-pilot-v1</x:v>
      </x:c>
      <x:c r="B28" t="str">
        <x:v>v4_val_0028</x:v>
      </x:c>
      <x:c r="C28" t="str">
        <x:v>core</x:v>
      </x:c>
      <x:c r="D28" t="str">
        <x:v>R11_0028</x:v>
      </x:c>
      <x:c r="E28" t="str">
        <x:v>R1</x:v>
      </x:c>
      <x:c r="F28" t="n">
        <x:v>1</x:v>
      </x:c>
      <x:c r="G28" t="str"/>
      <x:c r="H28" t="str">
        <x:v>GT01</x:v>
      </x:c>
      <x:c r="I28" t="str">
        <x:v>yes</x:v>
      </x:c>
      <x:c r="J28" t="str">
        <x:v>pending</x:v>
      </x:c>
      <x:c r="K28" t="str">
        <x:v>pending</x:v>
      </x:c>
      <x:c r="L28" t="str">
        <x:v>pending</x:v>
      </x:c>
      <x:c r="M28" s="27" t="str"/>
      <x:c r="N28" s="27" t="str"/>
      <x:c r="O28" s="27" t="str"/>
      <x:c r="P28" s="27" t="str"/>
      <x:c r="Q28" s="27" t="str"/>
      <x:c r="R28" s="29" t="str"/>
      <x:c r="S28" s="28" t="n">
        <x:v>600</x:v>
      </x:c>
      <x:c r="T28" s="28" t="n">
        <x:v>0.7831620166421929</x:v>
      </x:c>
      <x:c r="U28" s="28" t="n">
        <x:v>0.054054374999999995</x:v>
      </x:c>
      <x:c r="V28" s="30" t="str">
        <x:f>IF(R28="","",R28*U28)</x:f>
      </x:c>
      <x:c r="W28" s="28" t="str"/>
      <x:c r="X28" s="24" t="str">
        <x:f>IF(OR(R28="",W28=""),"",R28/W28)</x:f>
      </x:c>
      <x:c r="Y28" s="27" t="str">
        <x:v>pending</x:v>
      </x:c>
      <x:c r="Z28" s="27" t="str"/>
      <x:c r="AA28" s="27" t="str"/>
      <x:c r="AB28" s="27" t="str"/>
      <x:c r="AC28" s="31" t="str"/>
      <x:c r="AD28" s="31" t="str"/>
      <x:c r="AE28" s="31" t="str"/>
      <x:c r="AF28" s="27" t="str">
        <x:v>pending</x:v>
      </x:c>
      <x:c r="AG28" s="27" t="str">
        <x:v>pending</x:v>
      </x:c>
      <x:c r="AH28" s="27" t="str">
        <x:v>pending</x:v>
      </x:c>
      <x:c r="AI28" s="27" t="n">
        <x:v>1</x:v>
      </x:c>
      <x:c r="AJ28" s="27" t="str"/>
    </x:row>
    <x:row r="29">
      <x:c r="A29" t="str">
        <x:v>phenotype-first-pilot-v1</x:v>
      </x:c>
      <x:c r="B29" t="str">
        <x:v>v4_val_0028</x:v>
      </x:c>
      <x:c r="C29" t="str">
        <x:v>core</x:v>
      </x:c>
      <x:c r="D29" t="str">
        <x:v>R11_0028</x:v>
      </x:c>
      <x:c r="E29" t="str">
        <x:v>R1</x:v>
      </x:c>
      <x:c r="F29" t="n">
        <x:v>1</x:v>
      </x:c>
      <x:c r="G29" t="str"/>
      <x:c r="H29" t="str">
        <x:v>GT02</x:v>
      </x:c>
      <x:c r="I29" t="str">
        <x:v>yes</x:v>
      </x:c>
      <x:c r="J29" t="str">
        <x:v>pending</x:v>
      </x:c>
      <x:c r="K29" t="str">
        <x:v>pending</x:v>
      </x:c>
      <x:c r="L29" t="str">
        <x:v>pending</x:v>
      </x:c>
      <x:c r="M29" s="27" t="str"/>
      <x:c r="N29" s="27" t="str"/>
      <x:c r="O29" s="27" t="str"/>
      <x:c r="P29" s="27" t="str"/>
      <x:c r="Q29" s="27" t="str"/>
      <x:c r="R29" s="29" t="str"/>
      <x:c r="S29" s="28" t="n">
        <x:v>600</x:v>
      </x:c>
      <x:c r="T29" s="28" t="n">
        <x:v>0.7831620166421929</x:v>
      </x:c>
      <x:c r="U29" s="28" t="n">
        <x:v>0.054054374999999995</x:v>
      </x:c>
      <x:c r="V29" s="30" t="str">
        <x:f>IF(R29="","",R29*U29)</x:f>
      </x:c>
      <x:c r="W29" s="28" t="str"/>
      <x:c r="X29" s="24" t="str">
        <x:f>IF(OR(R29="",W29=""),"",R29/W29)</x:f>
      </x:c>
      <x:c r="Y29" s="27" t="str">
        <x:v>pending</x:v>
      </x:c>
      <x:c r="Z29" s="27" t="str"/>
      <x:c r="AA29" s="27" t="str"/>
      <x:c r="AB29" s="27" t="str"/>
      <x:c r="AC29" s="31" t="str"/>
      <x:c r="AD29" s="31" t="str"/>
      <x:c r="AE29" s="31" t="str"/>
      <x:c r="AF29" s="27" t="str">
        <x:v>pending</x:v>
      </x:c>
      <x:c r="AG29" s="27" t="str">
        <x:v>pending</x:v>
      </x:c>
      <x:c r="AH29" s="27" t="str">
        <x:v>pending</x:v>
      </x:c>
      <x:c r="AI29" s="27" t="n">
        <x:v>1</x:v>
      </x:c>
      <x:c r="AJ29" s="27" t="str"/>
    </x:row>
    <x:row r="30">
      <x:c r="A30" t="str">
        <x:v>phenotype-first-pilot-v1</x:v>
      </x:c>
      <x:c r="B30" t="str">
        <x:v>v4_val_0030</x:v>
      </x:c>
      <x:c r="C30" t="str">
        <x:v>core</x:v>
      </x:c>
      <x:c r="D30" t="str">
        <x:v>R11_0030</x:v>
      </x:c>
      <x:c r="E30" t="str">
        <x:v>R1</x:v>
      </x:c>
      <x:c r="F30" t="n">
        <x:v>1</x:v>
      </x:c>
      <x:c r="G30" t="str"/>
      <x:c r="H30" t="str">
        <x:v>GT01</x:v>
      </x:c>
      <x:c r="I30" t="str">
        <x:v>yes</x:v>
      </x:c>
      <x:c r="J30" t="str">
        <x:v>pending</x:v>
      </x:c>
      <x:c r="K30" t="str">
        <x:v>pending</x:v>
      </x:c>
      <x:c r="L30" t="str">
        <x:v>pending</x:v>
      </x:c>
      <x:c r="M30" s="27" t="str"/>
      <x:c r="N30" s="27" t="str"/>
      <x:c r="O30" s="27" t="str"/>
      <x:c r="P30" s="27" t="str"/>
      <x:c r="Q30" s="27" t="str"/>
      <x:c r="R30" s="29" t="str"/>
      <x:c r="S30" s="28" t="n">
        <x:v>600</x:v>
      </x:c>
      <x:c r="T30" s="28" t="n">
        <x:v>0.40261701056869653</x:v>
      </x:c>
      <x:c r="U30" s="28" t="n">
        <x:v>0.10514541666666666</x:v>
      </x:c>
      <x:c r="V30" s="30" t="str">
        <x:f>IF(R30="","",R30*U30)</x:f>
      </x:c>
      <x:c r="W30" s="28" t="str"/>
      <x:c r="X30" s="24" t="str">
        <x:f>IF(OR(R30="",W30=""),"",R30/W30)</x:f>
      </x:c>
      <x:c r="Y30" s="27" t="str">
        <x:v>pending</x:v>
      </x:c>
      <x:c r="Z30" s="27" t="str"/>
      <x:c r="AA30" s="27" t="str"/>
      <x:c r="AB30" s="27" t="str"/>
      <x:c r="AC30" s="31" t="str"/>
      <x:c r="AD30" s="31" t="str"/>
      <x:c r="AE30" s="31" t="str"/>
      <x:c r="AF30" s="27" t="str">
        <x:v>pending</x:v>
      </x:c>
      <x:c r="AG30" s="27" t="str">
        <x:v>pending</x:v>
      </x:c>
      <x:c r="AH30" s="27" t="str">
        <x:v>pending</x:v>
      </x:c>
      <x:c r="AI30" s="27" t="n">
        <x:v>1</x:v>
      </x:c>
      <x:c r="AJ30" s="27" t="str"/>
    </x:row>
    <x:row r="31">
      <x:c r="A31" t="str">
        <x:v>phenotype-first-pilot-v1</x:v>
      </x:c>
      <x:c r="B31" t="str">
        <x:v>v4_val_0030</x:v>
      </x:c>
      <x:c r="C31" t="str">
        <x:v>core</x:v>
      </x:c>
      <x:c r="D31" t="str">
        <x:v>R11_0030</x:v>
      </x:c>
      <x:c r="E31" t="str">
        <x:v>R1</x:v>
      </x:c>
      <x:c r="F31" t="n">
        <x:v>1</x:v>
      </x:c>
      <x:c r="G31" t="str"/>
      <x:c r="H31" t="str">
        <x:v>GT02</x:v>
      </x:c>
      <x:c r="I31" t="str">
        <x:v>yes</x:v>
      </x:c>
      <x:c r="J31" t="str">
        <x:v>pending</x:v>
      </x:c>
      <x:c r="K31" t="str">
        <x:v>pending</x:v>
      </x:c>
      <x:c r="L31" t="str">
        <x:v>pending</x:v>
      </x:c>
      <x:c r="M31" s="27" t="str"/>
      <x:c r="N31" s="27" t="str"/>
      <x:c r="O31" s="27" t="str"/>
      <x:c r="P31" s="27" t="str"/>
      <x:c r="Q31" s="27" t="str"/>
      <x:c r="R31" s="29" t="str"/>
      <x:c r="S31" s="28" t="n">
        <x:v>600</x:v>
      </x:c>
      <x:c r="T31" s="28" t="n">
        <x:v>0.40261701056869653</x:v>
      </x:c>
      <x:c r="U31" s="28" t="n">
        <x:v>0.10514541666666666</x:v>
      </x:c>
      <x:c r="V31" s="30" t="str">
        <x:f>IF(R31="","",R31*U31)</x:f>
      </x:c>
      <x:c r="W31" s="28" t="str"/>
      <x:c r="X31" s="24" t="str">
        <x:f>IF(OR(R31="",W31=""),"",R31/W31)</x:f>
      </x:c>
      <x:c r="Y31" s="27" t="str">
        <x:v>pending</x:v>
      </x:c>
      <x:c r="Z31" s="27" t="str"/>
      <x:c r="AA31" s="27" t="str"/>
      <x:c r="AB31" s="27" t="str"/>
      <x:c r="AC31" s="31" t="str"/>
      <x:c r="AD31" s="31" t="str"/>
      <x:c r="AE31" s="31" t="str"/>
      <x:c r="AF31" s="27" t="str">
        <x:v>pending</x:v>
      </x:c>
      <x:c r="AG31" s="27" t="str">
        <x:v>pending</x:v>
      </x:c>
      <x:c r="AH31" s="27" t="str">
        <x:v>pending</x:v>
      </x:c>
      <x:c r="AI31" s="27" t="n">
        <x:v>1</x:v>
      </x:c>
      <x:c r="AJ31" s="27" t="str"/>
    </x:row>
    <x:row r="32">
      <x:c r="A32" t="str">
        <x:v>phenotype-first-pilot-v1</x:v>
      </x:c>
      <x:c r="B32" t="str">
        <x:v>v4_val_0034</x:v>
      </x:c>
      <x:c r="C32" t="str">
        <x:v>diagnostic</x:v>
      </x:c>
      <x:c r="D32" t="str">
        <x:v>R11_0034</x:v>
      </x:c>
      <x:c r="E32" t="str">
        <x:v>R1</x:v>
      </x:c>
      <x:c r="F32" t="n">
        <x:v>1</x:v>
      </x:c>
      <x:c r="G32" t="str"/>
      <x:c r="H32" t="str">
        <x:v>GT01</x:v>
      </x:c>
      <x:c r="I32" t="str">
        <x:v>yes</x:v>
      </x:c>
      <x:c r="J32" t="str">
        <x:v>pending</x:v>
      </x:c>
      <x:c r="K32" t="str">
        <x:v>pending</x:v>
      </x:c>
      <x:c r="L32" t="str">
        <x:v>pending</x:v>
      </x:c>
      <x:c r="M32" s="27" t="str"/>
      <x:c r="N32" s="27" t="str"/>
      <x:c r="O32" s="27" t="str"/>
      <x:c r="P32" s="27" t="str"/>
      <x:c r="Q32" s="27" t="str"/>
      <x:c r="R32" s="29" t="str"/>
      <x:c r="S32" s="28" t="n">
        <x:v>600</x:v>
      </x:c>
      <x:c r="T32" s="28" t="n">
        <x:v>0.4698972099853157</x:v>
      </x:c>
      <x:c r="U32" s="28" t="n">
        <x:v>0.09009062500000001</x:v>
      </x:c>
      <x:c r="V32" s="30" t="str">
        <x:f>IF(R32="","",R32*U32)</x:f>
      </x:c>
      <x:c r="W32" s="28" t="str"/>
      <x:c r="X32" s="24" t="str">
        <x:f>IF(OR(R32="",W32=""),"",R32/W32)</x:f>
      </x:c>
      <x:c r="Y32" s="27" t="str">
        <x:v>pending</x:v>
      </x:c>
      <x:c r="Z32" s="27" t="str"/>
      <x:c r="AA32" s="27" t="str"/>
      <x:c r="AB32" s="27" t="str"/>
      <x:c r="AC32" s="31" t="str"/>
      <x:c r="AD32" s="31" t="str"/>
      <x:c r="AE32" s="31" t="str"/>
      <x:c r="AF32" s="27" t="str">
        <x:v>pending</x:v>
      </x:c>
      <x:c r="AG32" s="27" t="str">
        <x:v>pending</x:v>
      </x:c>
      <x:c r="AH32" s="27" t="str">
        <x:v>pending</x:v>
      </x:c>
      <x:c r="AI32" s="27" t="n">
        <x:v>1</x:v>
      </x:c>
      <x:c r="AJ32" s="27" t="str"/>
    </x:row>
    <x:row r="33">
      <x:c r="A33" t="str">
        <x:v>phenotype-first-pilot-v1</x:v>
      </x:c>
      <x:c r="B33" t="str">
        <x:v>v4_val_0034</x:v>
      </x:c>
      <x:c r="C33" t="str">
        <x:v>diagnostic</x:v>
      </x:c>
      <x:c r="D33" t="str">
        <x:v>R11_0034</x:v>
      </x:c>
      <x:c r="E33" t="str">
        <x:v>R1</x:v>
      </x:c>
      <x:c r="F33" t="n">
        <x:v>1</x:v>
      </x:c>
      <x:c r="G33" t="str"/>
      <x:c r="H33" t="str">
        <x:v>GT02</x:v>
      </x:c>
      <x:c r="I33" t="str">
        <x:v>yes</x:v>
      </x:c>
      <x:c r="J33" t="str">
        <x:v>pending</x:v>
      </x:c>
      <x:c r="K33" t="str">
        <x:v>pending</x:v>
      </x:c>
      <x:c r="L33" t="str">
        <x:v>pending</x:v>
      </x:c>
      <x:c r="M33" s="27" t="str"/>
      <x:c r="N33" s="27" t="str"/>
      <x:c r="O33" s="27" t="str"/>
      <x:c r="P33" s="27" t="str"/>
      <x:c r="Q33" s="27" t="str"/>
      <x:c r="R33" s="29" t="str"/>
      <x:c r="S33" s="28" t="n">
        <x:v>600</x:v>
      </x:c>
      <x:c r="T33" s="28" t="n">
        <x:v>0.4698972099853157</x:v>
      </x:c>
      <x:c r="U33" s="28" t="n">
        <x:v>0.09009062500000001</x:v>
      </x:c>
      <x:c r="V33" s="30" t="str">
        <x:f>IF(R33="","",R33*U33)</x:f>
      </x:c>
      <x:c r="W33" s="28" t="str"/>
      <x:c r="X33" s="24" t="str">
        <x:f>IF(OR(R33="",W33=""),"",R33/W33)</x:f>
      </x:c>
      <x:c r="Y33" s="27" t="str">
        <x:v>pending</x:v>
      </x:c>
      <x:c r="Z33" s="27" t="str"/>
      <x:c r="AA33" s="27" t="str"/>
      <x:c r="AB33" s="27" t="str"/>
      <x:c r="AC33" s="31" t="str"/>
      <x:c r="AD33" s="31" t="str"/>
      <x:c r="AE33" s="31" t="str"/>
      <x:c r="AF33" s="27" t="str">
        <x:v>pending</x:v>
      </x:c>
      <x:c r="AG33" s="27" t="str">
        <x:v>pending</x:v>
      </x:c>
      <x:c r="AH33" s="27" t="str">
        <x:v>pending</x:v>
      </x:c>
      <x:c r="AI33" s="27" t="n">
        <x:v>1</x:v>
      </x:c>
      <x:c r="AJ33" s="27" t="str"/>
    </x:row>
    <x:row r="34">
      <x:c r="A34" t="str">
        <x:v>phenotype-first-pilot-v1</x:v>
      </x:c>
      <x:c r="B34" t="str">
        <x:v>v4_val_0035</x:v>
      </x:c>
      <x:c r="C34" t="str">
        <x:v>core</x:v>
      </x:c>
      <x:c r="D34" t="str">
        <x:v>R11_0035</x:v>
      </x:c>
      <x:c r="E34" t="str">
        <x:v>R1</x:v>
      </x:c>
      <x:c r="F34" t="n">
        <x:v>1</x:v>
      </x:c>
      <x:c r="G34" t="str"/>
      <x:c r="H34" t="str">
        <x:v>GT01</x:v>
      </x:c>
      <x:c r="I34" t="str">
        <x:v>yes</x:v>
      </x:c>
      <x:c r="J34" t="str">
        <x:v>pending</x:v>
      </x:c>
      <x:c r="K34" t="str">
        <x:v>pending</x:v>
      </x:c>
      <x:c r="L34" t="str">
        <x:v>pending</x:v>
      </x:c>
      <x:c r="M34" s="27" t="str"/>
      <x:c r="N34" s="27" t="str"/>
      <x:c r="O34" s="27" t="str"/>
      <x:c r="P34" s="27" t="str"/>
      <x:c r="Q34" s="27" t="str"/>
      <x:c r="R34" s="29" t="str"/>
      <x:c r="S34" s="28" t="n">
        <x:v>600</x:v>
      </x:c>
      <x:c r="T34" s="28" t="n">
        <x:v>0.608596424496006</x:v>
      </x:c>
      <x:c r="U34" s="28" t="n">
        <x:v>0.06955895833333334</x:v>
      </x:c>
      <x:c r="V34" s="30" t="str">
        <x:f>IF(R34="","",R34*U34)</x:f>
      </x:c>
      <x:c r="W34" s="28" t="str"/>
      <x:c r="X34" s="24" t="str">
        <x:f>IF(OR(R34="",W34=""),"",R34/W34)</x:f>
      </x:c>
      <x:c r="Y34" s="27" t="str">
        <x:v>pending</x:v>
      </x:c>
      <x:c r="Z34" s="27" t="str"/>
      <x:c r="AA34" s="27" t="str"/>
      <x:c r="AB34" s="27" t="str"/>
      <x:c r="AC34" s="31" t="str"/>
      <x:c r="AD34" s="31" t="str"/>
      <x:c r="AE34" s="31" t="str"/>
      <x:c r="AF34" s="27" t="str">
        <x:v>pending</x:v>
      </x:c>
      <x:c r="AG34" s="27" t="str">
        <x:v>pending</x:v>
      </x:c>
      <x:c r="AH34" s="27" t="str">
        <x:v>pending</x:v>
      </x:c>
      <x:c r="AI34" s="27" t="n">
        <x:v>1</x:v>
      </x:c>
      <x:c r="AJ34" s="27" t="str"/>
    </x:row>
    <x:row r="35">
      <x:c r="A35" t="str">
        <x:v>phenotype-first-pilot-v1</x:v>
      </x:c>
      <x:c r="B35" t="str">
        <x:v>v4_val_0035</x:v>
      </x:c>
      <x:c r="C35" t="str">
        <x:v>core</x:v>
      </x:c>
      <x:c r="D35" t="str">
        <x:v>R11_0035</x:v>
      </x:c>
      <x:c r="E35" t="str">
        <x:v>R1</x:v>
      </x:c>
      <x:c r="F35" t="n">
        <x:v>1</x:v>
      </x:c>
      <x:c r="G35" t="str"/>
      <x:c r="H35" t="str">
        <x:v>GT02</x:v>
      </x:c>
      <x:c r="I35" t="str">
        <x:v>yes</x:v>
      </x:c>
      <x:c r="J35" t="str">
        <x:v>pending</x:v>
      </x:c>
      <x:c r="K35" t="str">
        <x:v>pending</x:v>
      </x:c>
      <x:c r="L35" t="str">
        <x:v>pending</x:v>
      </x:c>
      <x:c r="M35" s="27" t="str"/>
      <x:c r="N35" s="27" t="str"/>
      <x:c r="O35" s="27" t="str"/>
      <x:c r="P35" s="27" t="str"/>
      <x:c r="Q35" s="27" t="str"/>
      <x:c r="R35" s="29" t="str"/>
      <x:c r="S35" s="28" t="n">
        <x:v>600</x:v>
      </x:c>
      <x:c r="T35" s="28" t="n">
        <x:v>0.608596424496006</x:v>
      </x:c>
      <x:c r="U35" s="28" t="n">
        <x:v>0.06955895833333334</x:v>
      </x:c>
      <x:c r="V35" s="30" t="str">
        <x:f>IF(R35="","",R35*U35)</x:f>
      </x:c>
      <x:c r="W35" s="28" t="str"/>
      <x:c r="X35" s="24" t="str">
        <x:f>IF(OR(R35="",W35=""),"",R35/W35)</x:f>
      </x:c>
      <x:c r="Y35" s="27" t="str">
        <x:v>pending</x:v>
      </x:c>
      <x:c r="Z35" s="27" t="str"/>
      <x:c r="AA35" s="27" t="str"/>
      <x:c r="AB35" s="27" t="str"/>
      <x:c r="AC35" s="31" t="str"/>
      <x:c r="AD35" s="31" t="str"/>
      <x:c r="AE35" s="31" t="str"/>
      <x:c r="AF35" s="27" t="str">
        <x:v>pending</x:v>
      </x:c>
      <x:c r="AG35" s="27" t="str">
        <x:v>pending</x:v>
      </x:c>
      <x:c r="AH35" s="27" t="str">
        <x:v>pending</x:v>
      </x:c>
      <x:c r="AI35" s="27" t="n">
        <x:v>1</x:v>
      </x:c>
      <x:c r="AJ35" s="27" t="str"/>
    </x:row>
    <x:row r="36">
      <x:c r="A36" t="str">
        <x:v>phenotype-first-pilot-v1</x:v>
      </x:c>
      <x:c r="B36" t="str">
        <x:v>v4_val_0035</x:v>
      </x:c>
      <x:c r="C36" t="str">
        <x:v>core</x:v>
      </x:c>
      <x:c r="D36" t="str">
        <x:v>R11_0035</x:v>
      </x:c>
      <x:c r="E36" t="str">
        <x:v>R1</x:v>
      </x:c>
      <x:c r="F36" t="n">
        <x:v>1</x:v>
      </x:c>
      <x:c r="G36" t="str"/>
      <x:c r="H36" t="str">
        <x:v>GT03</x:v>
      </x:c>
      <x:c r="I36" t="str">
        <x:v>yes</x:v>
      </x:c>
      <x:c r="J36" t="str">
        <x:v>pending</x:v>
      </x:c>
      <x:c r="K36" t="str">
        <x:v>pending</x:v>
      </x:c>
      <x:c r="L36" t="str">
        <x:v>pending</x:v>
      </x:c>
      <x:c r="M36" s="27" t="str"/>
      <x:c r="N36" s="27" t="str"/>
      <x:c r="O36" s="27" t="str"/>
      <x:c r="P36" s="27" t="str"/>
      <x:c r="Q36" s="27" t="str"/>
      <x:c r="R36" s="29" t="str"/>
      <x:c r="S36" s="28" t="n">
        <x:v>600</x:v>
      </x:c>
      <x:c r="T36" s="28" t="n">
        <x:v>0.608596424496006</x:v>
      </x:c>
      <x:c r="U36" s="28" t="n">
        <x:v>0.06955895833333334</x:v>
      </x:c>
      <x:c r="V36" s="30" t="str">
        <x:f>IF(R36="","",R36*U36)</x:f>
      </x:c>
      <x:c r="W36" s="28" t="str"/>
      <x:c r="X36" s="24" t="str">
        <x:f>IF(OR(R36="",W36=""),"",R36/W36)</x:f>
      </x:c>
      <x:c r="Y36" s="27" t="str">
        <x:v>pending</x:v>
      </x:c>
      <x:c r="Z36" s="27" t="str"/>
      <x:c r="AA36" s="27" t="str"/>
      <x:c r="AB36" s="27" t="str"/>
      <x:c r="AC36" s="31" t="str"/>
      <x:c r="AD36" s="31" t="str"/>
      <x:c r="AE36" s="31" t="str"/>
      <x:c r="AF36" s="27" t="str">
        <x:v>pending</x:v>
      </x:c>
      <x:c r="AG36" s="27" t="str">
        <x:v>pending</x:v>
      </x:c>
      <x:c r="AH36" s="27" t="str">
        <x:v>pending</x:v>
      </x:c>
      <x:c r="AI36" s="27" t="n">
        <x:v>1</x:v>
      </x:c>
      <x:c r="AJ36" s="27" t="str"/>
    </x:row>
    <x:row r="37">
      <x:c r="A37" t="str">
        <x:v>phenotype-first-pilot-v1</x:v>
      </x:c>
      <x:c r="B37" t="str">
        <x:v>v4_val_0037</x:v>
      </x:c>
      <x:c r="C37" t="str">
        <x:v>core</x:v>
      </x:c>
      <x:c r="D37" t="str">
        <x:v>R11_0037</x:v>
      </x:c>
      <x:c r="E37" t="str">
        <x:v>R1</x:v>
      </x:c>
      <x:c r="F37" t="n">
        <x:v>1</x:v>
      </x:c>
      <x:c r="G37" t="str"/>
      <x:c r="H37" t="str">
        <x:v>GT01</x:v>
      </x:c>
      <x:c r="I37" t="str">
        <x:v>yes</x:v>
      </x:c>
      <x:c r="J37" t="str">
        <x:v>pending</x:v>
      </x:c>
      <x:c r="K37" t="str">
        <x:v>pending</x:v>
      </x:c>
      <x:c r="L37" t="str">
        <x:v>pending</x:v>
      </x:c>
      <x:c r="M37" s="27" t="str"/>
      <x:c r="N37" s="27" t="str"/>
      <x:c r="O37" s="27" t="str"/>
      <x:c r="P37" s="27" t="str"/>
      <x:c r="Q37" s="27" t="str"/>
      <x:c r="R37" s="29" t="str"/>
      <x:c r="S37" s="28" t="n">
        <x:v>600</x:v>
      </x:c>
      <x:c r="T37" s="28" t="n">
        <x:v>0.3504161191414805</x:v>
      </x:c>
      <x:c r="U37" s="28" t="n">
        <x:v>0.12080874999999998</x:v>
      </x:c>
      <x:c r="V37" s="30" t="str">
        <x:f>IF(R37="","",R37*U37)</x:f>
      </x:c>
      <x:c r="W37" s="28" t="str"/>
      <x:c r="X37" s="24" t="str">
        <x:f>IF(OR(R37="",W37=""),"",R37/W37)</x:f>
      </x:c>
      <x:c r="Y37" s="27" t="str">
        <x:v>pending</x:v>
      </x:c>
      <x:c r="Z37" s="27" t="str"/>
      <x:c r="AA37" s="27" t="str"/>
      <x:c r="AB37" s="27" t="str"/>
      <x:c r="AC37" s="31" t="str"/>
      <x:c r="AD37" s="31" t="str"/>
      <x:c r="AE37" s="31" t="str"/>
      <x:c r="AF37" s="27" t="str">
        <x:v>pending</x:v>
      </x:c>
      <x:c r="AG37" s="27" t="str">
        <x:v>pending</x:v>
      </x:c>
      <x:c r="AH37" s="27" t="str">
        <x:v>pending</x:v>
      </x:c>
      <x:c r="AI37" s="27" t="n">
        <x:v>1</x:v>
      </x:c>
      <x:c r="AJ37" s="27" t="str"/>
    </x:row>
    <x:row r="38">
      <x:c r="A38" t="str">
        <x:v>phenotype-first-pilot-v1</x:v>
      </x:c>
      <x:c r="B38" t="str">
        <x:v>v4_val_0037</x:v>
      </x:c>
      <x:c r="C38" t="str">
        <x:v>core</x:v>
      </x:c>
      <x:c r="D38" t="str">
        <x:v>R11_0037</x:v>
      </x:c>
      <x:c r="E38" t="str">
        <x:v>R1</x:v>
      </x:c>
      <x:c r="F38" t="n">
        <x:v>1</x:v>
      </x:c>
      <x:c r="G38" t="str"/>
      <x:c r="H38" t="str">
        <x:v>GT02</x:v>
      </x:c>
      <x:c r="I38" t="str">
        <x:v>yes</x:v>
      </x:c>
      <x:c r="J38" t="str">
        <x:v>pending</x:v>
      </x:c>
      <x:c r="K38" t="str">
        <x:v>pending</x:v>
      </x:c>
      <x:c r="L38" t="str">
        <x:v>pending</x:v>
      </x:c>
      <x:c r="M38" s="27" t="str"/>
      <x:c r="N38" s="27" t="str"/>
      <x:c r="O38" s="27" t="str"/>
      <x:c r="P38" s="27" t="str"/>
      <x:c r="Q38" s="27" t="str"/>
      <x:c r="R38" s="29" t="str"/>
      <x:c r="S38" s="28" t="n">
        <x:v>600</x:v>
      </x:c>
      <x:c r="T38" s="28" t="n">
        <x:v>0.3504161191414805</x:v>
      </x:c>
      <x:c r="U38" s="28" t="n">
        <x:v>0.12080874999999998</x:v>
      </x:c>
      <x:c r="V38" s="30" t="str">
        <x:f>IF(R38="","",R38*U38)</x:f>
      </x:c>
      <x:c r="W38" s="28" t="str"/>
      <x:c r="X38" s="24" t="str">
        <x:f>IF(OR(R38="",W38=""),"",R38/W38)</x:f>
      </x:c>
      <x:c r="Y38" s="27" t="str">
        <x:v>pending</x:v>
      </x:c>
      <x:c r="Z38" s="27" t="str"/>
      <x:c r="AA38" s="27" t="str"/>
      <x:c r="AB38" s="27" t="str"/>
      <x:c r="AC38" s="31" t="str"/>
      <x:c r="AD38" s="31" t="str"/>
      <x:c r="AE38" s="31" t="str"/>
      <x:c r="AF38" s="27" t="str">
        <x:v>pending</x:v>
      </x:c>
      <x:c r="AG38" s="27" t="str">
        <x:v>pending</x:v>
      </x:c>
      <x:c r="AH38" s="27" t="str">
        <x:v>pending</x:v>
      </x:c>
      <x:c r="AI38" s="27" t="n">
        <x:v>1</x:v>
      </x:c>
      <x:c r="AJ38" s="27" t="str"/>
    </x:row>
    <x:row r="39">
      <x:c r="A39" t="str">
        <x:v>phenotype-first-pilot-v1</x:v>
      </x:c>
      <x:c r="B39" t="str">
        <x:v>v4_val_0002</x:v>
      </x:c>
      <x:c r="C39" t="str">
        <x:v>diagnostic</x:v>
      </x:c>
      <x:c r="D39" t="str">
        <x:v>R12_0002</x:v>
      </x:c>
      <x:c r="E39" t="str">
        <x:v>R1</x:v>
      </x:c>
      <x:c r="F39" t="n">
        <x:v>2</x:v>
      </x:c>
      <x:c r="G39" t="str"/>
      <x:c r="H39" t="str">
        <x:v>GT01</x:v>
      </x:c>
      <x:c r="I39" t="str">
        <x:v>yes</x:v>
      </x:c>
      <x:c r="J39" t="str">
        <x:v>pending</x:v>
      </x:c>
      <x:c r="K39" t="str">
        <x:v>pending</x:v>
      </x:c>
      <x:c r="L39" t="str">
        <x:v>pending</x:v>
      </x:c>
      <x:c r="M39" s="27" t="str"/>
      <x:c r="N39" s="27" t="str"/>
      <x:c r="O39" s="27" t="str"/>
      <x:c r="P39" s="27" t="str"/>
      <x:c r="Q39" s="27" t="str"/>
      <x:c r="R39" s="29" t="str"/>
      <x:c r="S39" s="28" t="n">
        <x:v>600</x:v>
      </x:c>
      <x:c r="T39" s="28" t="n">
        <x:v>0.3969238402381543</x:v>
      </x:c>
      <x:c r="U39" s="28" t="n">
        <x:v>0.10665354166666666</x:v>
      </x:c>
      <x:c r="V39" s="30" t="str">
        <x:f>IF(R39="","",R39*U39)</x:f>
      </x:c>
      <x:c r="W39" s="28" t="str"/>
      <x:c r="X39" s="24" t="str">
        <x:f>IF(OR(R39="",W39=""),"",R39/W39)</x:f>
      </x:c>
      <x:c r="Y39" s="27" t="str">
        <x:v>pending</x:v>
      </x:c>
      <x:c r="Z39" s="27" t="str"/>
      <x:c r="AA39" s="27" t="str"/>
      <x:c r="AB39" s="27" t="str"/>
      <x:c r="AC39" s="31" t="str"/>
      <x:c r="AD39" s="31" t="str"/>
      <x:c r="AE39" s="31" t="str"/>
      <x:c r="AF39" s="27" t="str">
        <x:v>pending</x:v>
      </x:c>
      <x:c r="AG39" s="27" t="str">
        <x:v>pending</x:v>
      </x:c>
      <x:c r="AH39" s="27" t="str">
        <x:v>pending</x:v>
      </x:c>
      <x:c r="AI39" s="27" t="n">
        <x:v>1</x:v>
      </x:c>
      <x:c r="AJ39" s="27" t="str"/>
    </x:row>
    <x:row r="40">
      <x:c r="A40" t="str">
        <x:v>phenotype-first-pilot-v1</x:v>
      </x:c>
      <x:c r="B40" t="str">
        <x:v>v4_val_0002</x:v>
      </x:c>
      <x:c r="C40" t="str">
        <x:v>diagnostic</x:v>
      </x:c>
      <x:c r="D40" t="str">
        <x:v>R12_0002</x:v>
      </x:c>
      <x:c r="E40" t="str">
        <x:v>R1</x:v>
      </x:c>
      <x:c r="F40" t="n">
        <x:v>2</x:v>
      </x:c>
      <x:c r="G40" t="str"/>
      <x:c r="H40" t="str">
        <x:v>GT02</x:v>
      </x:c>
      <x:c r="I40" t="str">
        <x:v>yes</x:v>
      </x:c>
      <x:c r="J40" t="str">
        <x:v>pending</x:v>
      </x:c>
      <x:c r="K40" t="str">
        <x:v>pending</x:v>
      </x:c>
      <x:c r="L40" t="str">
        <x:v>pending</x:v>
      </x:c>
      <x:c r="M40" s="27" t="str"/>
      <x:c r="N40" s="27" t="str"/>
      <x:c r="O40" s="27" t="str"/>
      <x:c r="P40" s="27" t="str"/>
      <x:c r="Q40" s="27" t="str"/>
      <x:c r="R40" s="29" t="str"/>
      <x:c r="S40" s="28" t="n">
        <x:v>600</x:v>
      </x:c>
      <x:c r="T40" s="28" t="n">
        <x:v>0.3969238402381543</x:v>
      </x:c>
      <x:c r="U40" s="28" t="n">
        <x:v>0.10665354166666666</x:v>
      </x:c>
      <x:c r="V40" s="30" t="str">
        <x:f>IF(R40="","",R40*U40)</x:f>
      </x:c>
      <x:c r="W40" s="28" t="str"/>
      <x:c r="X40" s="24" t="str">
        <x:f>IF(OR(R40="",W40=""),"",R40/W40)</x:f>
      </x:c>
      <x:c r="Y40" s="27" t="str">
        <x:v>pending</x:v>
      </x:c>
      <x:c r="Z40" s="27" t="str"/>
      <x:c r="AA40" s="27" t="str"/>
      <x:c r="AB40" s="27" t="str"/>
      <x:c r="AC40" s="31" t="str"/>
      <x:c r="AD40" s="31" t="str"/>
      <x:c r="AE40" s="31" t="str"/>
      <x:c r="AF40" s="27" t="str">
        <x:v>pending</x:v>
      </x:c>
      <x:c r="AG40" s="27" t="str">
        <x:v>pending</x:v>
      </x:c>
      <x:c r="AH40" s="27" t="str">
        <x:v>pending</x:v>
      </x:c>
      <x:c r="AI40" s="27" t="n">
        <x:v>1</x:v>
      </x:c>
      <x:c r="AJ40" s="27" t="str"/>
    </x:row>
    <x:row r="41">
      <x:c r="A41" t="str">
        <x:v>phenotype-first-pilot-v1</x:v>
      </x:c>
      <x:c r="B41" t="str">
        <x:v>v4_val_0004</x:v>
      </x:c>
      <x:c r="C41" t="str">
        <x:v>core</x:v>
      </x:c>
      <x:c r="D41" t="str">
        <x:v>R12_0004</x:v>
      </x:c>
      <x:c r="E41" t="str">
        <x:v>R1</x:v>
      </x:c>
      <x:c r="F41" t="n">
        <x:v>2</x:v>
      </x:c>
      <x:c r="G41" t="str"/>
      <x:c r="H41" t="str">
        <x:v>GT01</x:v>
      </x:c>
      <x:c r="I41" t="str">
        <x:v>yes</x:v>
      </x:c>
      <x:c r="J41" t="str">
        <x:v>pending</x:v>
      </x:c>
      <x:c r="K41" t="str">
        <x:v>pending</x:v>
      </x:c>
      <x:c r="L41" t="str">
        <x:v>pending</x:v>
      </x:c>
      <x:c r="M41" s="27" t="str"/>
      <x:c r="N41" s="27" t="str"/>
      <x:c r="O41" s="27" t="str"/>
      <x:c r="P41" s="27" t="str"/>
      <x:c r="Q41" s="27" t="str"/>
      <x:c r="R41" s="29" t="str"/>
      <x:c r="S41" s="28" t="n">
        <x:v>600</x:v>
      </x:c>
      <x:c r="T41" s="28" t="n">
        <x:v>0.40414246021722655</x:v>
      </x:c>
      <x:c r="U41" s="28" t="n">
        <x:v>0.10474854166666667</x:v>
      </x:c>
      <x:c r="V41" s="30" t="str">
        <x:f>IF(R41="","",R41*U41)</x:f>
      </x:c>
      <x:c r="W41" s="28" t="str"/>
      <x:c r="X41" s="24" t="str">
        <x:f>IF(OR(R41="",W41=""),"",R41/W41)</x:f>
      </x:c>
      <x:c r="Y41" s="27" t="str">
        <x:v>pending</x:v>
      </x:c>
      <x:c r="Z41" s="27" t="str"/>
      <x:c r="AA41" s="27" t="str"/>
      <x:c r="AB41" s="27" t="str"/>
      <x:c r="AC41" s="31" t="str"/>
      <x:c r="AD41" s="31" t="str"/>
      <x:c r="AE41" s="31" t="str"/>
      <x:c r="AF41" s="27" t="str">
        <x:v>pending</x:v>
      </x:c>
      <x:c r="AG41" s="27" t="str">
        <x:v>pending</x:v>
      </x:c>
      <x:c r="AH41" s="27" t="str">
        <x:v>pending</x:v>
      </x:c>
      <x:c r="AI41" s="27" t="n">
        <x:v>1</x:v>
      </x:c>
      <x:c r="AJ41" s="27" t="str"/>
    </x:row>
    <x:row r="42">
      <x:c r="A42" t="str">
        <x:v>phenotype-first-pilot-v1</x:v>
      </x:c>
      <x:c r="B42" t="str">
        <x:v>v4_val_0004</x:v>
      </x:c>
      <x:c r="C42" t="str">
        <x:v>core</x:v>
      </x:c>
      <x:c r="D42" t="str">
        <x:v>R12_0004</x:v>
      </x:c>
      <x:c r="E42" t="str">
        <x:v>R1</x:v>
      </x:c>
      <x:c r="F42" t="n">
        <x:v>2</x:v>
      </x:c>
      <x:c r="G42" t="str"/>
      <x:c r="H42" t="str">
        <x:v>GT02</x:v>
      </x:c>
      <x:c r="I42" t="str">
        <x:v>yes</x:v>
      </x:c>
      <x:c r="J42" t="str">
        <x:v>pending</x:v>
      </x:c>
      <x:c r="K42" t="str">
        <x:v>pending</x:v>
      </x:c>
      <x:c r="L42" t="str">
        <x:v>pending</x:v>
      </x:c>
      <x:c r="M42" s="27" t="str"/>
      <x:c r="N42" s="27" t="str"/>
      <x:c r="O42" s="27" t="str"/>
      <x:c r="P42" s="27" t="str"/>
      <x:c r="Q42" s="27" t="str"/>
      <x:c r="R42" s="29" t="str"/>
      <x:c r="S42" s="28" t="n">
        <x:v>600</x:v>
      </x:c>
      <x:c r="T42" s="28" t="n">
        <x:v>0.40414246021722655</x:v>
      </x:c>
      <x:c r="U42" s="28" t="n">
        <x:v>0.10474854166666667</x:v>
      </x:c>
      <x:c r="V42" s="30" t="str">
        <x:f>IF(R42="","",R42*U42)</x:f>
      </x:c>
      <x:c r="W42" s="28" t="str"/>
      <x:c r="X42" s="24" t="str">
        <x:f>IF(OR(R42="",W42=""),"",R42/W42)</x:f>
      </x:c>
      <x:c r="Y42" s="27" t="str">
        <x:v>pending</x:v>
      </x:c>
      <x:c r="Z42" s="27" t="str"/>
      <x:c r="AA42" s="27" t="str"/>
      <x:c r="AB42" s="27" t="str"/>
      <x:c r="AC42" s="31" t="str"/>
      <x:c r="AD42" s="31" t="str"/>
      <x:c r="AE42" s="31" t="str"/>
      <x:c r="AF42" s="27" t="str">
        <x:v>pending</x:v>
      </x:c>
      <x:c r="AG42" s="27" t="str">
        <x:v>pending</x:v>
      </x:c>
      <x:c r="AH42" s="27" t="str">
        <x:v>pending</x:v>
      </x:c>
      <x:c r="AI42" s="27" t="n">
        <x:v>1</x:v>
      </x:c>
      <x:c r="AJ42" s="27" t="str"/>
    </x:row>
    <x:row r="43">
      <x:c r="A43" t="str">
        <x:v>phenotype-first-pilot-v1</x:v>
      </x:c>
      <x:c r="B43" t="str">
        <x:v>v4_val_0005</x:v>
      </x:c>
      <x:c r="C43" t="str">
        <x:v>core</x:v>
      </x:c>
      <x:c r="D43" t="str">
        <x:v>R12_0005</x:v>
      </x:c>
      <x:c r="E43" t="str">
        <x:v>R1</x:v>
      </x:c>
      <x:c r="F43" t="n">
        <x:v>2</x:v>
      </x:c>
      <x:c r="G43" t="str"/>
      <x:c r="H43" t="str">
        <x:v>GT01</x:v>
      </x:c>
      <x:c r="I43" t="str">
        <x:v>yes</x:v>
      </x:c>
      <x:c r="J43" t="str">
        <x:v>pending</x:v>
      </x:c>
      <x:c r="K43" t="str">
        <x:v>pending</x:v>
      </x:c>
      <x:c r="L43" t="str">
        <x:v>pending</x:v>
      </x:c>
      <x:c r="M43" s="27" t="str"/>
      <x:c r="N43" s="27" t="str"/>
      <x:c r="O43" s="27" t="str"/>
      <x:c r="P43" s="27" t="str"/>
      <x:c r="Q43" s="27" t="str"/>
      <x:c r="R43" s="29" t="str"/>
      <x:c r="S43" s="28" t="n">
        <x:v>600</x:v>
      </x:c>
      <x:c r="T43" s="28" t="n">
        <x:v>0.6324110671936759</x:v>
      </x:c>
      <x:c r="U43" s="28" t="n">
        <x:v>0.06693958333333333</x:v>
      </x:c>
      <x:c r="V43" s="30" t="str">
        <x:f>IF(R43="","",R43*U43)</x:f>
      </x:c>
      <x:c r="W43" s="28" t="str"/>
      <x:c r="X43" s="24" t="str">
        <x:f>IF(OR(R43="",W43=""),"",R43/W43)</x:f>
      </x:c>
      <x:c r="Y43" s="27" t="str">
        <x:v>pending</x:v>
      </x:c>
      <x:c r="Z43" s="27" t="str"/>
      <x:c r="AA43" s="27" t="str"/>
      <x:c r="AB43" s="27" t="str"/>
      <x:c r="AC43" s="31" t="str"/>
      <x:c r="AD43" s="31" t="str"/>
      <x:c r="AE43" s="31" t="str"/>
      <x:c r="AF43" s="27" t="str">
        <x:v>pending</x:v>
      </x:c>
      <x:c r="AG43" s="27" t="str">
        <x:v>pending</x:v>
      </x:c>
      <x:c r="AH43" s="27" t="str">
        <x:v>pending</x:v>
      </x:c>
      <x:c r="AI43" s="27" t="n">
        <x:v>1</x:v>
      </x:c>
      <x:c r="AJ43" s="27" t="str"/>
    </x:row>
    <x:row r="44">
      <x:c r="A44" t="str">
        <x:v>phenotype-first-pilot-v1</x:v>
      </x:c>
      <x:c r="B44" t="str">
        <x:v>v4_val_0005</x:v>
      </x:c>
      <x:c r="C44" t="str">
        <x:v>core</x:v>
      </x:c>
      <x:c r="D44" t="str">
        <x:v>R12_0005</x:v>
      </x:c>
      <x:c r="E44" t="str">
        <x:v>R1</x:v>
      </x:c>
      <x:c r="F44" t="n">
        <x:v>2</x:v>
      </x:c>
      <x:c r="G44" t="str"/>
      <x:c r="H44" t="str">
        <x:v>GT02</x:v>
      </x:c>
      <x:c r="I44" t="str">
        <x:v>yes</x:v>
      </x:c>
      <x:c r="J44" t="str">
        <x:v>pending</x:v>
      </x:c>
      <x:c r="K44" t="str">
        <x:v>pending</x:v>
      </x:c>
      <x:c r="L44" t="str">
        <x:v>pending</x:v>
      </x:c>
      <x:c r="M44" s="27" t="str"/>
      <x:c r="N44" s="27" t="str"/>
      <x:c r="O44" s="27" t="str"/>
      <x:c r="P44" s="27" t="str"/>
      <x:c r="Q44" s="27" t="str"/>
      <x:c r="R44" s="29" t="str"/>
      <x:c r="S44" s="28" t="n">
        <x:v>600</x:v>
      </x:c>
      <x:c r="T44" s="28" t="n">
        <x:v>0.6324110671936759</x:v>
      </x:c>
      <x:c r="U44" s="28" t="n">
        <x:v>0.06693958333333333</x:v>
      </x:c>
      <x:c r="V44" s="30" t="str">
        <x:f>IF(R44="","",R44*U44)</x:f>
      </x:c>
      <x:c r="W44" s="28" t="str"/>
      <x:c r="X44" s="24" t="str">
        <x:f>IF(OR(R44="",W44=""),"",R44/W44)</x:f>
      </x:c>
      <x:c r="Y44" s="27" t="str">
        <x:v>pending</x:v>
      </x:c>
      <x:c r="Z44" s="27" t="str"/>
      <x:c r="AA44" s="27" t="str"/>
      <x:c r="AB44" s="27" t="str"/>
      <x:c r="AC44" s="31" t="str"/>
      <x:c r="AD44" s="31" t="str"/>
      <x:c r="AE44" s="31" t="str"/>
      <x:c r="AF44" s="27" t="str">
        <x:v>pending</x:v>
      </x:c>
      <x:c r="AG44" s="27" t="str">
        <x:v>pending</x:v>
      </x:c>
      <x:c r="AH44" s="27" t="str">
        <x:v>pending</x:v>
      </x:c>
      <x:c r="AI44" s="27" t="n">
        <x:v>1</x:v>
      </x:c>
      <x:c r="AJ44" s="27" t="str"/>
    </x:row>
    <x:row r="45">
      <x:c r="A45" t="str">
        <x:v>phenotype-first-pilot-v1</x:v>
      </x:c>
      <x:c r="B45" t="str">
        <x:v>v4_val_0006</x:v>
      </x:c>
      <x:c r="C45" t="str">
        <x:v>core</x:v>
      </x:c>
      <x:c r="D45" t="str">
        <x:v>R12_0006</x:v>
      </x:c>
      <x:c r="E45" t="str">
        <x:v>R1</x:v>
      </x:c>
      <x:c r="F45" t="n">
        <x:v>2</x:v>
      </x:c>
      <x:c r="G45" t="str"/>
      <x:c r="H45" t="str">
        <x:v>GT01</x:v>
      </x:c>
      <x:c r="I45" t="str">
        <x:v>yes</x:v>
      </x:c>
      <x:c r="J45" t="str">
        <x:v>pending</x:v>
      </x:c>
      <x:c r="K45" t="str">
        <x:v>pending</x:v>
      </x:c>
      <x:c r="L45" t="str">
        <x:v>pending</x:v>
      </x:c>
      <x:c r="M45" s="27" t="str"/>
      <x:c r="N45" s="27" t="str"/>
      <x:c r="O45" s="27" t="str"/>
      <x:c r="P45" s="27" t="str"/>
      <x:c r="Q45" s="27" t="str"/>
      <x:c r="R45" s="29" t="str"/>
      <x:c r="S45" s="28" t="n">
        <x:v>600</x:v>
      </x:c>
      <x:c r="T45" s="28" t="n">
        <x:v>0.362400906002265</x:v>
      </x:c>
      <x:c r="U45" s="28" t="n">
        <x:v>0.11681354166666666</x:v>
      </x:c>
      <x:c r="V45" s="30" t="str">
        <x:f>IF(R45="","",R45*U45)</x:f>
      </x:c>
      <x:c r="W45" s="28" t="str"/>
      <x:c r="X45" s="24" t="str">
        <x:f>IF(OR(R45="",W45=""),"",R45/W45)</x:f>
      </x:c>
      <x:c r="Y45" s="27" t="str">
        <x:v>pending</x:v>
      </x:c>
      <x:c r="Z45" s="27" t="str"/>
      <x:c r="AA45" s="27" t="str"/>
      <x:c r="AB45" s="27" t="str"/>
      <x:c r="AC45" s="31" t="str"/>
      <x:c r="AD45" s="31" t="str"/>
      <x:c r="AE45" s="31" t="str"/>
      <x:c r="AF45" s="27" t="str">
        <x:v>pending</x:v>
      </x:c>
      <x:c r="AG45" s="27" t="str">
        <x:v>pending</x:v>
      </x:c>
      <x:c r="AH45" s="27" t="str">
        <x:v>pending</x:v>
      </x:c>
      <x:c r="AI45" s="27" t="n">
        <x:v>1</x:v>
      </x:c>
      <x:c r="AJ45" s="27" t="str"/>
    </x:row>
    <x:row r="46">
      <x:c r="A46" t="str">
        <x:v>phenotype-first-pilot-v1</x:v>
      </x:c>
      <x:c r="B46" t="str">
        <x:v>v4_val_0006</x:v>
      </x:c>
      <x:c r="C46" t="str">
        <x:v>core</x:v>
      </x:c>
      <x:c r="D46" t="str">
        <x:v>R12_0006</x:v>
      </x:c>
      <x:c r="E46" t="str">
        <x:v>R1</x:v>
      </x:c>
      <x:c r="F46" t="n">
        <x:v>2</x:v>
      </x:c>
      <x:c r="G46" t="str"/>
      <x:c r="H46" t="str">
        <x:v>GT02</x:v>
      </x:c>
      <x:c r="I46" t="str">
        <x:v>yes</x:v>
      </x:c>
      <x:c r="J46" t="str">
        <x:v>pending</x:v>
      </x:c>
      <x:c r="K46" t="str">
        <x:v>pending</x:v>
      </x:c>
      <x:c r="L46" t="str">
        <x:v>pending</x:v>
      </x:c>
      <x:c r="M46" s="27" t="str"/>
      <x:c r="N46" s="27" t="str"/>
      <x:c r="O46" s="27" t="str"/>
      <x:c r="P46" s="27" t="str"/>
      <x:c r="Q46" s="27" t="str"/>
      <x:c r="R46" s="29" t="str"/>
      <x:c r="S46" s="28" t="n">
        <x:v>600</x:v>
      </x:c>
      <x:c r="T46" s="28" t="n">
        <x:v>0.362400906002265</x:v>
      </x:c>
      <x:c r="U46" s="28" t="n">
        <x:v>0.11681354166666666</x:v>
      </x:c>
      <x:c r="V46" s="30" t="str">
        <x:f>IF(R46="","",R46*U46)</x:f>
      </x:c>
      <x:c r="W46" s="28" t="str"/>
      <x:c r="X46" s="24" t="str">
        <x:f>IF(OR(R46="",W46=""),"",R46/W46)</x:f>
      </x:c>
      <x:c r="Y46" s="27" t="str">
        <x:v>pending</x:v>
      </x:c>
      <x:c r="Z46" s="27" t="str"/>
      <x:c r="AA46" s="27" t="str"/>
      <x:c r="AB46" s="27" t="str"/>
      <x:c r="AC46" s="31" t="str"/>
      <x:c r="AD46" s="31" t="str"/>
      <x:c r="AE46" s="31" t="str"/>
      <x:c r="AF46" s="27" t="str">
        <x:v>pending</x:v>
      </x:c>
      <x:c r="AG46" s="27" t="str">
        <x:v>pending</x:v>
      </x:c>
      <x:c r="AH46" s="27" t="str">
        <x:v>pending</x:v>
      </x:c>
      <x:c r="AI46" s="27" t="n">
        <x:v>1</x:v>
      </x:c>
      <x:c r="AJ46" s="27" t="str"/>
    </x:row>
    <x:row r="47">
      <x:c r="A47" t="str">
        <x:v>phenotype-first-pilot-v1</x:v>
      </x:c>
      <x:c r="B47" t="str">
        <x:v>v4_val_0009</x:v>
      </x:c>
      <x:c r="C47" t="str">
        <x:v>core</x:v>
      </x:c>
      <x:c r="D47" t="str">
        <x:v>R12_0009</x:v>
      </x:c>
      <x:c r="E47" t="str">
        <x:v>R1</x:v>
      </x:c>
      <x:c r="F47" t="n">
        <x:v>2</x:v>
      </x:c>
      <x:c r="G47" t="str"/>
      <x:c r="H47" t="str">
        <x:v>GT01</x:v>
      </x:c>
      <x:c r="I47" t="str">
        <x:v>yes</x:v>
      </x:c>
      <x:c r="J47" t="str">
        <x:v>pending</x:v>
      </x:c>
      <x:c r="K47" t="str">
        <x:v>pending</x:v>
      </x:c>
      <x:c r="L47" t="str">
        <x:v>pending</x:v>
      </x:c>
      <x:c r="M47" s="27" t="str"/>
      <x:c r="N47" s="27" t="str"/>
      <x:c r="O47" s="27" t="str"/>
      <x:c r="P47" s="27" t="str"/>
      <x:c r="Q47" s="27" t="str"/>
      <x:c r="R47" s="29" t="str"/>
      <x:c r="S47" s="28" t="n">
        <x:v>600</x:v>
      </x:c>
      <x:c r="T47" s="28" t="n">
        <x:v>0.9060022650056625</x:v>
      </x:c>
      <x:c r="U47" s="28" t="n">
        <x:v>0.046725416666666665</x:v>
      </x:c>
      <x:c r="V47" s="30" t="str">
        <x:f>IF(R47="","",R47*U47)</x:f>
      </x:c>
      <x:c r="W47" s="28" t="str"/>
      <x:c r="X47" s="24" t="str">
        <x:f>IF(OR(R47="",W47=""),"",R47/W47)</x:f>
      </x:c>
      <x:c r="Y47" s="27" t="str">
        <x:v>pending</x:v>
      </x:c>
      <x:c r="Z47" s="27" t="str"/>
      <x:c r="AA47" s="27" t="str"/>
      <x:c r="AB47" s="27" t="str"/>
      <x:c r="AC47" s="31" t="str"/>
      <x:c r="AD47" s="31" t="str"/>
      <x:c r="AE47" s="31" t="str"/>
      <x:c r="AF47" s="27" t="str">
        <x:v>pending</x:v>
      </x:c>
      <x:c r="AG47" s="27" t="str">
        <x:v>pending</x:v>
      </x:c>
      <x:c r="AH47" s="27" t="str">
        <x:v>pending</x:v>
      </x:c>
      <x:c r="AI47" s="27" t="n">
        <x:v>1</x:v>
      </x:c>
      <x:c r="AJ47" s="27" t="str"/>
    </x:row>
    <x:row r="48">
      <x:c r="A48" t="str">
        <x:v>phenotype-first-pilot-v1</x:v>
      </x:c>
      <x:c r="B48" t="str">
        <x:v>v4_val_0011</x:v>
      </x:c>
      <x:c r="C48" t="str">
        <x:v>core</x:v>
      </x:c>
      <x:c r="D48" t="str">
        <x:v>R12_0011</x:v>
      </x:c>
      <x:c r="E48" t="str">
        <x:v>R1</x:v>
      </x:c>
      <x:c r="F48" t="n">
        <x:v>2</x:v>
      </x:c>
      <x:c r="G48" t="str"/>
      <x:c r="H48" t="str">
        <x:v>GT01</x:v>
      </x:c>
      <x:c r="I48" t="str">
        <x:v>yes</x:v>
      </x:c>
      <x:c r="J48" t="str">
        <x:v>pending</x:v>
      </x:c>
      <x:c r="K48" t="str">
        <x:v>pending</x:v>
      </x:c>
      <x:c r="L48" t="str">
        <x:v>pending</x:v>
      </x:c>
      <x:c r="M48" s="27" t="str"/>
      <x:c r="N48" s="27" t="str"/>
      <x:c r="O48" s="27" t="str"/>
      <x:c r="P48" s="27" t="str"/>
      <x:c r="Q48" s="27" t="str"/>
      <x:c r="R48" s="29" t="str"/>
      <x:c r="S48" s="28" t="n">
        <x:v>600</x:v>
      </x:c>
      <x:c r="T48" s="28" t="n">
        <x:v>0.8154943934760448</x:v>
      </x:c>
      <x:c r="U48" s="28" t="n">
        <x:v>0.051911250000000006</x:v>
      </x:c>
      <x:c r="V48" s="30" t="str">
        <x:f>IF(R48="","",R48*U48)</x:f>
      </x:c>
      <x:c r="W48" s="28" t="str"/>
      <x:c r="X48" s="24" t="str">
        <x:f>IF(OR(R48="",W48=""),"",R48/W48)</x:f>
      </x:c>
      <x:c r="Y48" s="27" t="str">
        <x:v>pending</x:v>
      </x:c>
      <x:c r="Z48" s="27" t="str"/>
      <x:c r="AA48" s="27" t="str"/>
      <x:c r="AB48" s="27" t="str"/>
      <x:c r="AC48" s="31" t="str"/>
      <x:c r="AD48" s="31" t="str"/>
      <x:c r="AE48" s="31" t="str"/>
      <x:c r="AF48" s="27" t="str">
        <x:v>pending</x:v>
      </x:c>
      <x:c r="AG48" s="27" t="str">
        <x:v>pending</x:v>
      </x:c>
      <x:c r="AH48" s="27" t="str">
        <x:v>pending</x:v>
      </x:c>
      <x:c r="AI48" s="27" t="n">
        <x:v>1</x:v>
      </x:c>
      <x:c r="AJ48" s="27" t="str"/>
    </x:row>
    <x:row r="49">
      <x:c r="A49" t="str">
        <x:v>phenotype-first-pilot-v1</x:v>
      </x:c>
      <x:c r="B49" t="str">
        <x:v>v4_val_0011</x:v>
      </x:c>
      <x:c r="C49" t="str">
        <x:v>core</x:v>
      </x:c>
      <x:c r="D49" t="str">
        <x:v>R12_0011</x:v>
      </x:c>
      <x:c r="E49" t="str">
        <x:v>R1</x:v>
      </x:c>
      <x:c r="F49" t="n">
        <x:v>2</x:v>
      </x:c>
      <x:c r="G49" t="str"/>
      <x:c r="H49" t="str">
        <x:v>GT02</x:v>
      </x:c>
      <x:c r="I49" t="str">
        <x:v>yes</x:v>
      </x:c>
      <x:c r="J49" t="str">
        <x:v>pending</x:v>
      </x:c>
      <x:c r="K49" t="str">
        <x:v>pending</x:v>
      </x:c>
      <x:c r="L49" t="str">
        <x:v>pending</x:v>
      </x:c>
      <x:c r="M49" s="27" t="str"/>
      <x:c r="N49" s="27" t="str"/>
      <x:c r="O49" s="27" t="str"/>
      <x:c r="P49" s="27" t="str"/>
      <x:c r="Q49" s="27" t="str"/>
      <x:c r="R49" s="29" t="str"/>
      <x:c r="S49" s="28" t="n">
        <x:v>600</x:v>
      </x:c>
      <x:c r="T49" s="28" t="n">
        <x:v>0.8154943934760448</x:v>
      </x:c>
      <x:c r="U49" s="28" t="n">
        <x:v>0.051911250000000006</x:v>
      </x:c>
      <x:c r="V49" s="30" t="str">
        <x:f>IF(R49="","",R49*U49)</x:f>
      </x:c>
      <x:c r="W49" s="28" t="str"/>
      <x:c r="X49" s="24" t="str">
        <x:f>IF(OR(R49="",W49=""),"",R49/W49)</x:f>
      </x:c>
      <x:c r="Y49" s="27" t="str">
        <x:v>pending</x:v>
      </x:c>
      <x:c r="Z49" s="27" t="str"/>
      <x:c r="AA49" s="27" t="str"/>
      <x:c r="AB49" s="27" t="str"/>
      <x:c r="AC49" s="31" t="str"/>
      <x:c r="AD49" s="31" t="str"/>
      <x:c r="AE49" s="31" t="str"/>
      <x:c r="AF49" s="27" t="str">
        <x:v>pending</x:v>
      </x:c>
      <x:c r="AG49" s="27" t="str">
        <x:v>pending</x:v>
      </x:c>
      <x:c r="AH49" s="27" t="str">
        <x:v>pending</x:v>
      </x:c>
      <x:c r="AI49" s="27" t="n">
        <x:v>1</x:v>
      </x:c>
      <x:c r="AJ49" s="27" t="str"/>
    </x:row>
    <x:row r="50">
      <x:c r="A50" t="str">
        <x:v>phenotype-first-pilot-v1</x:v>
      </x:c>
      <x:c r="B50" t="str">
        <x:v>v4_val_0016</x:v>
      </x:c>
      <x:c r="C50" t="str">
        <x:v>core</x:v>
      </x:c>
      <x:c r="D50" t="str">
        <x:v>R12_0016</x:v>
      </x:c>
      <x:c r="E50" t="str">
        <x:v>R1</x:v>
      </x:c>
      <x:c r="F50" t="n">
        <x:v>2</x:v>
      </x:c>
      <x:c r="G50" t="str"/>
      <x:c r="H50" t="str">
        <x:v>GT01</x:v>
      </x:c>
      <x:c r="I50" t="str">
        <x:v>yes</x:v>
      </x:c>
      <x:c r="J50" t="str">
        <x:v>pending</x:v>
      </x:c>
      <x:c r="K50" t="str">
        <x:v>pending</x:v>
      </x:c>
      <x:c r="L50" t="str">
        <x:v>pending</x:v>
      </x:c>
      <x:c r="M50" s="27" t="str"/>
      <x:c r="N50" s="27" t="str"/>
      <x:c r="O50" s="27" t="str"/>
      <x:c r="P50" s="27" t="str"/>
      <x:c r="Q50" s="27" t="str"/>
      <x:c r="R50" s="29" t="str"/>
      <x:c r="S50" s="28" t="n">
        <x:v>600</x:v>
      </x:c>
      <x:c r="T50" s="28" t="n">
        <x:v>0.4935225169648365</x:v>
      </x:c>
      <x:c r="U50" s="28" t="n">
        <x:v>0.08577791666666666</x:v>
      </x:c>
      <x:c r="V50" s="30" t="str">
        <x:f>IF(R50="","",R50*U50)</x:f>
      </x:c>
      <x:c r="W50" s="28" t="str"/>
      <x:c r="X50" s="24" t="str">
        <x:f>IF(OR(R50="",W50=""),"",R50/W50)</x:f>
      </x:c>
      <x:c r="Y50" s="27" t="str">
        <x:v>pending</x:v>
      </x:c>
      <x:c r="Z50" s="27" t="str"/>
      <x:c r="AA50" s="27" t="str"/>
      <x:c r="AB50" s="27" t="str"/>
      <x:c r="AC50" s="31" t="str"/>
      <x:c r="AD50" s="31" t="str"/>
      <x:c r="AE50" s="31" t="str"/>
      <x:c r="AF50" s="27" t="str">
        <x:v>pending</x:v>
      </x:c>
      <x:c r="AG50" s="27" t="str">
        <x:v>pending</x:v>
      </x:c>
      <x:c r="AH50" s="27" t="str">
        <x:v>pending</x:v>
      </x:c>
      <x:c r="AI50" s="27" t="n">
        <x:v>1</x:v>
      </x:c>
      <x:c r="AJ50" s="27" t="str"/>
    </x:row>
    <x:row r="51">
      <x:c r="A51" t="str">
        <x:v>phenotype-first-pilot-v1</x:v>
      </x:c>
      <x:c r="B51" t="str">
        <x:v>v4_val_0016</x:v>
      </x:c>
      <x:c r="C51" t="str">
        <x:v>core</x:v>
      </x:c>
      <x:c r="D51" t="str">
        <x:v>R12_0016</x:v>
      </x:c>
      <x:c r="E51" t="str">
        <x:v>R1</x:v>
      </x:c>
      <x:c r="F51" t="n">
        <x:v>2</x:v>
      </x:c>
      <x:c r="G51" t="str"/>
      <x:c r="H51" t="str">
        <x:v>GT02</x:v>
      </x:c>
      <x:c r="I51" t="str">
        <x:v>yes</x:v>
      </x:c>
      <x:c r="J51" t="str">
        <x:v>pending</x:v>
      </x:c>
      <x:c r="K51" t="str">
        <x:v>pending</x:v>
      </x:c>
      <x:c r="L51" t="str">
        <x:v>pending</x:v>
      </x:c>
      <x:c r="M51" s="27" t="str"/>
      <x:c r="N51" s="27" t="str"/>
      <x:c r="O51" s="27" t="str"/>
      <x:c r="P51" s="27" t="str"/>
      <x:c r="Q51" s="27" t="str"/>
      <x:c r="R51" s="29" t="str"/>
      <x:c r="S51" s="28" t="n">
        <x:v>600</x:v>
      </x:c>
      <x:c r="T51" s="28" t="n">
        <x:v>0.4935225169648365</x:v>
      </x:c>
      <x:c r="U51" s="28" t="n">
        <x:v>0.08577791666666666</x:v>
      </x:c>
      <x:c r="V51" s="30" t="str">
        <x:f>IF(R51="","",R51*U51)</x:f>
      </x:c>
      <x:c r="W51" s="28" t="str"/>
      <x:c r="X51" s="24" t="str">
        <x:f>IF(OR(R51="",W51=""),"",R51/W51)</x:f>
      </x:c>
      <x:c r="Y51" s="27" t="str">
        <x:v>pending</x:v>
      </x:c>
      <x:c r="Z51" s="27" t="str"/>
      <x:c r="AA51" s="27" t="str"/>
      <x:c r="AB51" s="27" t="str"/>
      <x:c r="AC51" s="31" t="str"/>
      <x:c r="AD51" s="31" t="str"/>
      <x:c r="AE51" s="31" t="str"/>
      <x:c r="AF51" s="27" t="str">
        <x:v>pending</x:v>
      </x:c>
      <x:c r="AG51" s="27" t="str">
        <x:v>pending</x:v>
      </x:c>
      <x:c r="AH51" s="27" t="str">
        <x:v>pending</x:v>
      </x:c>
      <x:c r="AI51" s="27" t="n">
        <x:v>1</x:v>
      </x:c>
      <x:c r="AJ51" s="27" t="str"/>
    </x:row>
    <x:row r="52">
      <x:c r="A52" t="str">
        <x:v>phenotype-first-pilot-v1</x:v>
      </x:c>
      <x:c r="B52" t="str">
        <x:v>v4_val_0018</x:v>
      </x:c>
      <x:c r="C52" t="str">
        <x:v>diagnostic</x:v>
      </x:c>
      <x:c r="D52" t="str">
        <x:v>R12_0018</x:v>
      </x:c>
      <x:c r="E52" t="str">
        <x:v>R1</x:v>
      </x:c>
      <x:c r="F52" t="n">
        <x:v>2</x:v>
      </x:c>
      <x:c r="G52" t="str"/>
      <x:c r="H52" t="str">
        <x:v>GT01</x:v>
      </x:c>
      <x:c r="I52" t="str">
        <x:v>yes</x:v>
      </x:c>
      <x:c r="J52" t="str">
        <x:v>pending</x:v>
      </x:c>
      <x:c r="K52" t="str">
        <x:v>pending</x:v>
      </x:c>
      <x:c r="L52" t="str">
        <x:v>pending</x:v>
      </x:c>
      <x:c r="M52" s="27" t="str"/>
      <x:c r="N52" s="27" t="str"/>
      <x:c r="O52" s="27" t="str"/>
      <x:c r="P52" s="27" t="str"/>
      <x:c r="Q52" s="27" t="str"/>
      <x:c r="R52" s="29" t="str"/>
      <x:c r="S52" s="28" t="n">
        <x:v>600</x:v>
      </x:c>
      <x:c r="T52" s="28" t="n">
        <x:v>0.516295579219103</x:v>
      </x:c>
      <x:c r="U52" s="28" t="n">
        <x:v>0.081994375</x:v>
      </x:c>
      <x:c r="V52" s="30" t="str">
        <x:f>IF(R52="","",R52*U52)</x:f>
      </x:c>
      <x:c r="W52" s="28" t="str"/>
      <x:c r="X52" s="24" t="str">
        <x:f>IF(OR(R52="",W52=""),"",R52/W52)</x:f>
      </x:c>
      <x:c r="Y52" s="27" t="str">
        <x:v>pending</x:v>
      </x:c>
      <x:c r="Z52" s="27" t="str"/>
      <x:c r="AA52" s="27" t="str"/>
      <x:c r="AB52" s="27" t="str"/>
      <x:c r="AC52" s="31" t="str"/>
      <x:c r="AD52" s="31" t="str"/>
      <x:c r="AE52" s="31" t="str"/>
      <x:c r="AF52" s="27" t="str">
        <x:v>pending</x:v>
      </x:c>
      <x:c r="AG52" s="27" t="str">
        <x:v>pending</x:v>
      </x:c>
      <x:c r="AH52" s="27" t="str">
        <x:v>pending</x:v>
      </x:c>
      <x:c r="AI52" s="27" t="n">
        <x:v>1</x:v>
      </x:c>
      <x:c r="AJ52" s="27" t="str"/>
    </x:row>
    <x:row r="53">
      <x:c r="A53" t="str">
        <x:v>phenotype-first-pilot-v1</x:v>
      </x:c>
      <x:c r="B53" t="str">
        <x:v>v4_val_0018</x:v>
      </x:c>
      <x:c r="C53" t="str">
        <x:v>diagnostic</x:v>
      </x:c>
      <x:c r="D53" t="str">
        <x:v>R12_0018</x:v>
      </x:c>
      <x:c r="E53" t="str">
        <x:v>R1</x:v>
      </x:c>
      <x:c r="F53" t="n">
        <x:v>2</x:v>
      </x:c>
      <x:c r="G53" t="str"/>
      <x:c r="H53" t="str">
        <x:v>GT02</x:v>
      </x:c>
      <x:c r="I53" t="str">
        <x:v>yes</x:v>
      </x:c>
      <x:c r="J53" t="str">
        <x:v>pending</x:v>
      </x:c>
      <x:c r="K53" t="str">
        <x:v>pending</x:v>
      </x:c>
      <x:c r="L53" t="str">
        <x:v>pending</x:v>
      </x:c>
      <x:c r="M53" s="27" t="str"/>
      <x:c r="N53" s="27" t="str"/>
      <x:c r="O53" s="27" t="str"/>
      <x:c r="P53" s="27" t="str"/>
      <x:c r="Q53" s="27" t="str"/>
      <x:c r="R53" s="29" t="str"/>
      <x:c r="S53" s="28" t="n">
        <x:v>600</x:v>
      </x:c>
      <x:c r="T53" s="28" t="n">
        <x:v>0.516295579219103</x:v>
      </x:c>
      <x:c r="U53" s="28" t="n">
        <x:v>0.081994375</x:v>
      </x:c>
      <x:c r="V53" s="30" t="str">
        <x:f>IF(R53="","",R53*U53)</x:f>
      </x:c>
      <x:c r="W53" s="28" t="str"/>
      <x:c r="X53" s="24" t="str">
        <x:f>IF(OR(R53="",W53=""),"",R53/W53)</x:f>
      </x:c>
      <x:c r="Y53" s="27" t="str">
        <x:v>pending</x:v>
      </x:c>
      <x:c r="Z53" s="27" t="str"/>
      <x:c r="AA53" s="27" t="str"/>
      <x:c r="AB53" s="27" t="str"/>
      <x:c r="AC53" s="31" t="str"/>
      <x:c r="AD53" s="31" t="str"/>
      <x:c r="AE53" s="31" t="str"/>
      <x:c r="AF53" s="27" t="str">
        <x:v>pending</x:v>
      </x:c>
      <x:c r="AG53" s="27" t="str">
        <x:v>pending</x:v>
      </x:c>
      <x:c r="AH53" s="27" t="str">
        <x:v>pending</x:v>
      </x:c>
      <x:c r="AI53" s="27" t="n">
        <x:v>1</x:v>
      </x:c>
      <x:c r="AJ53" s="27" t="str"/>
    </x:row>
    <x:row r="54">
      <x:c r="A54" t="str">
        <x:v>phenotype-first-pilot-v1</x:v>
      </x:c>
      <x:c r="B54" t="str">
        <x:v>v4_val_0018</x:v>
      </x:c>
      <x:c r="C54" t="str">
        <x:v>diagnostic</x:v>
      </x:c>
      <x:c r="D54" t="str">
        <x:v>R12_0018</x:v>
      </x:c>
      <x:c r="E54" t="str">
        <x:v>R1</x:v>
      </x:c>
      <x:c r="F54" t="n">
        <x:v>2</x:v>
      </x:c>
      <x:c r="G54" t="str"/>
      <x:c r="H54" t="str">
        <x:v>GT03</x:v>
      </x:c>
      <x:c r="I54" t="str">
        <x:v>yes</x:v>
      </x:c>
      <x:c r="J54" t="str">
        <x:v>pending</x:v>
      </x:c>
      <x:c r="K54" t="str">
        <x:v>pending</x:v>
      </x:c>
      <x:c r="L54" t="str">
        <x:v>pending</x:v>
      </x:c>
      <x:c r="M54" s="27" t="str"/>
      <x:c r="N54" s="27" t="str"/>
      <x:c r="O54" s="27" t="str"/>
      <x:c r="P54" s="27" t="str"/>
      <x:c r="Q54" s="27" t="str"/>
      <x:c r="R54" s="29" t="str"/>
      <x:c r="S54" s="28" t="n">
        <x:v>600</x:v>
      </x:c>
      <x:c r="T54" s="28" t="n">
        <x:v>0.516295579219103</x:v>
      </x:c>
      <x:c r="U54" s="28" t="n">
        <x:v>0.081994375</x:v>
      </x:c>
      <x:c r="V54" s="30" t="str">
        <x:f>IF(R54="","",R54*U54)</x:f>
      </x:c>
      <x:c r="W54" s="28" t="str"/>
      <x:c r="X54" s="24" t="str">
        <x:f>IF(OR(R54="",W54=""),"",R54/W54)</x:f>
      </x:c>
      <x:c r="Y54" s="27" t="str">
        <x:v>pending</x:v>
      </x:c>
      <x:c r="Z54" s="27" t="str"/>
      <x:c r="AA54" s="27" t="str"/>
      <x:c r="AB54" s="27" t="str"/>
      <x:c r="AC54" s="31" t="str"/>
      <x:c r="AD54" s="31" t="str"/>
      <x:c r="AE54" s="31" t="str"/>
      <x:c r="AF54" s="27" t="str">
        <x:v>pending</x:v>
      </x:c>
      <x:c r="AG54" s="27" t="str">
        <x:v>pending</x:v>
      </x:c>
      <x:c r="AH54" s="27" t="str">
        <x:v>pending</x:v>
      </x:c>
      <x:c r="AI54" s="27" t="n">
        <x:v>1</x:v>
      </x:c>
      <x:c r="AJ54" s="27" t="str"/>
    </x:row>
    <x:row r="55">
      <x:c r="A55" t="str">
        <x:v>phenotype-first-pilot-v1</x:v>
      </x:c>
      <x:c r="B55" t="str">
        <x:v>v4_val_0020</x:v>
      </x:c>
      <x:c r="C55" t="str">
        <x:v>core</x:v>
      </x:c>
      <x:c r="D55" t="str">
        <x:v>R12_0020</x:v>
      </x:c>
      <x:c r="E55" t="str">
        <x:v>R1</x:v>
      </x:c>
      <x:c r="F55" t="n">
        <x:v>2</x:v>
      </x:c>
      <x:c r="G55" t="str"/>
      <x:c r="H55" t="str">
        <x:v>GT01</x:v>
      </x:c>
      <x:c r="I55" t="str">
        <x:v>yes</x:v>
      </x:c>
      <x:c r="J55" t="str">
        <x:v>pending</x:v>
      </x:c>
      <x:c r="K55" t="str">
        <x:v>pending</x:v>
      </x:c>
      <x:c r="L55" t="str">
        <x:v>pending</x:v>
      </x:c>
      <x:c r="M55" s="27" t="str"/>
      <x:c r="N55" s="27" t="str"/>
      <x:c r="O55" s="27" t="str"/>
      <x:c r="P55" s="27" t="str"/>
      <x:c r="Q55" s="27" t="str"/>
      <x:c r="R55" s="29" t="str"/>
      <x:c r="S55" s="28" t="n">
        <x:v>600</x:v>
      </x:c>
      <x:c r="T55" s="28" t="n">
        <x:v>0.4554511813265016</x:v>
      </x:c>
      <x:c r="U55" s="28" t="n">
        <x:v>0.09294812499999999</x:v>
      </x:c>
      <x:c r="V55" s="30" t="str">
        <x:f>IF(R55="","",R55*U55)</x:f>
      </x:c>
      <x:c r="W55" s="28" t="str"/>
      <x:c r="X55" s="24" t="str">
        <x:f>IF(OR(R55="",W55=""),"",R55/W55)</x:f>
      </x:c>
      <x:c r="Y55" s="27" t="str">
        <x:v>pending</x:v>
      </x:c>
      <x:c r="Z55" s="27" t="str"/>
      <x:c r="AA55" s="27" t="str"/>
      <x:c r="AB55" s="27" t="str"/>
      <x:c r="AC55" s="31" t="str"/>
      <x:c r="AD55" s="31" t="str"/>
      <x:c r="AE55" s="31" t="str"/>
      <x:c r="AF55" s="27" t="str">
        <x:v>pending</x:v>
      </x:c>
      <x:c r="AG55" s="27" t="str">
        <x:v>pending</x:v>
      </x:c>
      <x:c r="AH55" s="27" t="str">
        <x:v>pending</x:v>
      </x:c>
      <x:c r="AI55" s="27" t="n">
        <x:v>1</x:v>
      </x:c>
      <x:c r="AJ55" s="27" t="str"/>
    </x:row>
    <x:row r="56">
      <x:c r="A56" t="str">
        <x:v>phenotype-first-pilot-v1</x:v>
      </x:c>
      <x:c r="B56" t="str">
        <x:v>v4_val_0020</x:v>
      </x:c>
      <x:c r="C56" t="str">
        <x:v>core</x:v>
      </x:c>
      <x:c r="D56" t="str">
        <x:v>R12_0020</x:v>
      </x:c>
      <x:c r="E56" t="str">
        <x:v>R1</x:v>
      </x:c>
      <x:c r="F56" t="n">
        <x:v>2</x:v>
      </x:c>
      <x:c r="G56" t="str"/>
      <x:c r="H56" t="str">
        <x:v>GT02</x:v>
      </x:c>
      <x:c r="I56" t="str">
        <x:v>yes</x:v>
      </x:c>
      <x:c r="J56" t="str">
        <x:v>pending</x:v>
      </x:c>
      <x:c r="K56" t="str">
        <x:v>pending</x:v>
      </x:c>
      <x:c r="L56" t="str">
        <x:v>pending</x:v>
      </x:c>
      <x:c r="M56" s="27" t="str"/>
      <x:c r="N56" s="27" t="str"/>
      <x:c r="O56" s="27" t="str"/>
      <x:c r="P56" s="27" t="str"/>
      <x:c r="Q56" s="27" t="str"/>
      <x:c r="R56" s="29" t="str"/>
      <x:c r="S56" s="28" t="n">
        <x:v>600</x:v>
      </x:c>
      <x:c r="T56" s="28" t="n">
        <x:v>0.4554511813265016</x:v>
      </x:c>
      <x:c r="U56" s="28" t="n">
        <x:v>0.09294812499999999</x:v>
      </x:c>
      <x:c r="V56" s="30" t="str">
        <x:f>IF(R56="","",R56*U56)</x:f>
      </x:c>
      <x:c r="W56" s="28" t="str"/>
      <x:c r="X56" s="24" t="str">
        <x:f>IF(OR(R56="",W56=""),"",R56/W56)</x:f>
      </x:c>
      <x:c r="Y56" s="27" t="str">
        <x:v>pending</x:v>
      </x:c>
      <x:c r="Z56" s="27" t="str"/>
      <x:c r="AA56" s="27" t="str"/>
      <x:c r="AB56" s="27" t="str"/>
      <x:c r="AC56" s="31" t="str"/>
      <x:c r="AD56" s="31" t="str"/>
      <x:c r="AE56" s="31" t="str"/>
      <x:c r="AF56" s="27" t="str">
        <x:v>pending</x:v>
      </x:c>
      <x:c r="AG56" s="27" t="str">
        <x:v>pending</x:v>
      </x:c>
      <x:c r="AH56" s="27" t="str">
        <x:v>pending</x:v>
      </x:c>
      <x:c r="AI56" s="27" t="n">
        <x:v>1</x:v>
      </x:c>
      <x:c r="AJ56" s="27" t="str"/>
    </x:row>
    <x:row r="57">
      <x:c r="A57" t="str">
        <x:v>phenotype-first-pilot-v1</x:v>
      </x:c>
      <x:c r="B57" t="str">
        <x:v>v4_val_0020</x:v>
      </x:c>
      <x:c r="C57" t="str">
        <x:v>core</x:v>
      </x:c>
      <x:c r="D57" t="str">
        <x:v>R12_0020</x:v>
      </x:c>
      <x:c r="E57" t="str">
        <x:v>R1</x:v>
      </x:c>
      <x:c r="F57" t="n">
        <x:v>2</x:v>
      </x:c>
      <x:c r="G57" t="str"/>
      <x:c r="H57" t="str">
        <x:v>GT03</x:v>
      </x:c>
      <x:c r="I57" t="str">
        <x:v>yes</x:v>
      </x:c>
      <x:c r="J57" t="str">
        <x:v>pending</x:v>
      </x:c>
      <x:c r="K57" t="str">
        <x:v>pending</x:v>
      </x:c>
      <x:c r="L57" t="str">
        <x:v>pending</x:v>
      </x:c>
      <x:c r="M57" s="27" t="str"/>
      <x:c r="N57" s="27" t="str"/>
      <x:c r="O57" s="27" t="str"/>
      <x:c r="P57" s="27" t="str"/>
      <x:c r="Q57" s="27" t="str"/>
      <x:c r="R57" s="29" t="str"/>
      <x:c r="S57" s="28" t="n">
        <x:v>600</x:v>
      </x:c>
      <x:c r="T57" s="28" t="n">
        <x:v>0.4554511813265016</x:v>
      </x:c>
      <x:c r="U57" s="28" t="n">
        <x:v>0.09294812499999999</x:v>
      </x:c>
      <x:c r="V57" s="30" t="str">
        <x:f>IF(R57="","",R57*U57)</x:f>
      </x:c>
      <x:c r="W57" s="28" t="str"/>
      <x:c r="X57" s="24" t="str">
        <x:f>IF(OR(R57="",W57=""),"",R57/W57)</x:f>
      </x:c>
      <x:c r="Y57" s="27" t="str">
        <x:v>pending</x:v>
      </x:c>
      <x:c r="Z57" s="27" t="str"/>
      <x:c r="AA57" s="27" t="str"/>
      <x:c r="AB57" s="27" t="str"/>
      <x:c r="AC57" s="31" t="str"/>
      <x:c r="AD57" s="31" t="str"/>
      <x:c r="AE57" s="31" t="str"/>
      <x:c r="AF57" s="27" t="str">
        <x:v>pending</x:v>
      </x:c>
      <x:c r="AG57" s="27" t="str">
        <x:v>pending</x:v>
      </x:c>
      <x:c r="AH57" s="27" t="str">
        <x:v>pending</x:v>
      </x:c>
      <x:c r="AI57" s="27" t="n">
        <x:v>1</x:v>
      </x:c>
      <x:c r="AJ57" s="27" t="str"/>
    </x:row>
    <x:row r="58">
      <x:c r="A58" t="str">
        <x:v>phenotype-first-pilot-v1</x:v>
      </x:c>
      <x:c r="B58" t="str">
        <x:v>v4_val_0023</x:v>
      </x:c>
      <x:c r="C58" t="str">
        <x:v>diagnostic</x:v>
      </x:c>
      <x:c r="D58" t="str">
        <x:v>R12_0023</x:v>
      </x:c>
      <x:c r="E58" t="str">
        <x:v>R1</x:v>
      </x:c>
      <x:c r="F58" t="n">
        <x:v>2</x:v>
      </x:c>
      <x:c r="G58" t="str"/>
      <x:c r="H58" t="str">
        <x:v>GT01</x:v>
      </x:c>
      <x:c r="I58" t="str">
        <x:v>yes</x:v>
      </x:c>
      <x:c r="J58" t="str">
        <x:v>pending</x:v>
      </x:c>
      <x:c r="K58" t="str">
        <x:v>pending</x:v>
      </x:c>
      <x:c r="L58" t="str">
        <x:v>pending</x:v>
      </x:c>
      <x:c r="M58" s="27" t="str"/>
      <x:c r="N58" s="27" t="str"/>
      <x:c r="O58" s="27" t="str"/>
      <x:c r="P58" s="27" t="str"/>
      <x:c r="Q58" s="27" t="str"/>
      <x:c r="R58" s="29" t="str"/>
      <x:c r="S58" s="28" t="n">
        <x:v>600</x:v>
      </x:c>
      <x:c r="T58" s="28" t="n">
        <x:v>0.3442340791738382</x:v>
      </x:c>
      <x:c r="U58" s="28" t="n">
        <x:v>0.12297833333333334</x:v>
      </x:c>
      <x:c r="V58" s="30" t="str">
        <x:f>IF(R58="","",R58*U58)</x:f>
      </x:c>
      <x:c r="W58" s="28" t="str"/>
      <x:c r="X58" s="24" t="str">
        <x:f>IF(OR(R58="",W58=""),"",R58/W58)</x:f>
      </x:c>
      <x:c r="Y58" s="27" t="str">
        <x:v>pending</x:v>
      </x:c>
      <x:c r="Z58" s="27" t="str"/>
      <x:c r="AA58" s="27" t="str"/>
      <x:c r="AB58" s="27" t="str"/>
      <x:c r="AC58" s="31" t="str"/>
      <x:c r="AD58" s="31" t="str"/>
      <x:c r="AE58" s="31" t="str"/>
      <x:c r="AF58" s="27" t="str">
        <x:v>pending</x:v>
      </x:c>
      <x:c r="AG58" s="27" t="str">
        <x:v>pending</x:v>
      </x:c>
      <x:c r="AH58" s="27" t="str">
        <x:v>pending</x:v>
      </x:c>
      <x:c r="AI58" s="27" t="n">
        <x:v>1</x:v>
      </x:c>
      <x:c r="AJ58" s="27" t="str"/>
    </x:row>
    <x:row r="59">
      <x:c r="A59" t="str">
        <x:v>phenotype-first-pilot-v1</x:v>
      </x:c>
      <x:c r="B59" t="str">
        <x:v>v4_val_0023</x:v>
      </x:c>
      <x:c r="C59" t="str">
        <x:v>diagnostic</x:v>
      </x:c>
      <x:c r="D59" t="str">
        <x:v>R12_0023</x:v>
      </x:c>
      <x:c r="E59" t="str">
        <x:v>R1</x:v>
      </x:c>
      <x:c r="F59" t="n">
        <x:v>2</x:v>
      </x:c>
      <x:c r="G59" t="str"/>
      <x:c r="H59" t="str">
        <x:v>GT02</x:v>
      </x:c>
      <x:c r="I59" t="str">
        <x:v>yes</x:v>
      </x:c>
      <x:c r="J59" t="str">
        <x:v>pending</x:v>
      </x:c>
      <x:c r="K59" t="str">
        <x:v>pending</x:v>
      </x:c>
      <x:c r="L59" t="str">
        <x:v>pending</x:v>
      </x:c>
      <x:c r="M59" s="27" t="str"/>
      <x:c r="N59" s="27" t="str"/>
      <x:c r="O59" s="27" t="str"/>
      <x:c r="P59" s="27" t="str"/>
      <x:c r="Q59" s="27" t="str"/>
      <x:c r="R59" s="29" t="str"/>
      <x:c r="S59" s="28" t="n">
        <x:v>600</x:v>
      </x:c>
      <x:c r="T59" s="28" t="n">
        <x:v>0.3442340791738382</x:v>
      </x:c>
      <x:c r="U59" s="28" t="n">
        <x:v>0.12297833333333334</x:v>
      </x:c>
      <x:c r="V59" s="30" t="str">
        <x:f>IF(R59="","",R59*U59)</x:f>
      </x:c>
      <x:c r="W59" s="28" t="str"/>
      <x:c r="X59" s="24" t="str">
        <x:f>IF(OR(R59="",W59=""),"",R59/W59)</x:f>
      </x:c>
      <x:c r="Y59" s="27" t="str">
        <x:v>pending</x:v>
      </x:c>
      <x:c r="Z59" s="27" t="str"/>
      <x:c r="AA59" s="27" t="str"/>
      <x:c r="AB59" s="27" t="str"/>
      <x:c r="AC59" s="31" t="str"/>
      <x:c r="AD59" s="31" t="str"/>
      <x:c r="AE59" s="31" t="str"/>
      <x:c r="AF59" s="27" t="str">
        <x:v>pending</x:v>
      </x:c>
      <x:c r="AG59" s="27" t="str">
        <x:v>pending</x:v>
      </x:c>
      <x:c r="AH59" s="27" t="str">
        <x:v>pending</x:v>
      </x:c>
      <x:c r="AI59" s="27" t="n">
        <x:v>1</x:v>
      </x:c>
      <x:c r="AJ59" s="27" t="str"/>
    </x:row>
    <x:row r="60">
      <x:c r="A60" t="str">
        <x:v>phenotype-first-pilot-v1</x:v>
      </x:c>
      <x:c r="B60" t="str">
        <x:v>v4_val_0027</x:v>
      </x:c>
      <x:c r="C60" t="str">
        <x:v>core</x:v>
      </x:c>
      <x:c r="D60" t="str">
        <x:v>R12_0027</x:v>
      </x:c>
      <x:c r="E60" t="str">
        <x:v>R1</x:v>
      </x:c>
      <x:c r="F60" t="n">
        <x:v>2</x:v>
      </x:c>
      <x:c r="G60" t="str"/>
      <x:c r="H60" t="str">
        <x:v>GT01</x:v>
      </x:c>
      <x:c r="I60" t="str">
        <x:v>yes</x:v>
      </x:c>
      <x:c r="J60" t="str">
        <x:v>pending</x:v>
      </x:c>
      <x:c r="K60" t="str">
        <x:v>pending</x:v>
      </x:c>
      <x:c r="L60" t="str">
        <x:v>pending</x:v>
      </x:c>
      <x:c r="M60" s="27" t="str"/>
      <x:c r="N60" s="27" t="str"/>
      <x:c r="O60" s="27" t="str"/>
      <x:c r="P60" s="27" t="str"/>
      <x:c r="Q60" s="27" t="str"/>
      <x:c r="R60" s="29" t="str"/>
      <x:c r="S60" s="28" t="n">
        <x:v>600</x:v>
      </x:c>
      <x:c r="T60" s="28" t="n">
        <x:v>0.3902439024390244</x:v>
      </x:c>
      <x:c r="U60" s="28" t="n">
        <x:v>0.10847916666666665</x:v>
      </x:c>
      <x:c r="V60" s="30" t="str">
        <x:f>IF(R60="","",R60*U60)</x:f>
      </x:c>
      <x:c r="W60" s="28" t="str"/>
      <x:c r="X60" s="24" t="str">
        <x:f>IF(OR(R60="",W60=""),"",R60/W60)</x:f>
      </x:c>
      <x:c r="Y60" s="27" t="str">
        <x:v>pending</x:v>
      </x:c>
      <x:c r="Z60" s="27" t="str"/>
      <x:c r="AA60" s="27" t="str"/>
      <x:c r="AB60" s="27" t="str"/>
      <x:c r="AC60" s="31" t="str"/>
      <x:c r="AD60" s="31" t="str"/>
      <x:c r="AE60" s="31" t="str"/>
      <x:c r="AF60" s="27" t="str">
        <x:v>pending</x:v>
      </x:c>
      <x:c r="AG60" s="27" t="str">
        <x:v>pending</x:v>
      </x:c>
      <x:c r="AH60" s="27" t="str">
        <x:v>pending</x:v>
      </x:c>
      <x:c r="AI60" s="27" t="n">
        <x:v>1</x:v>
      </x:c>
      <x:c r="AJ60" s="27" t="str"/>
    </x:row>
    <x:row r="61">
      <x:c r="A61" t="str">
        <x:v>phenotype-first-pilot-v1</x:v>
      </x:c>
      <x:c r="B61" t="str">
        <x:v>v4_val_0027</x:v>
      </x:c>
      <x:c r="C61" t="str">
        <x:v>core</x:v>
      </x:c>
      <x:c r="D61" t="str">
        <x:v>R12_0027</x:v>
      </x:c>
      <x:c r="E61" t="str">
        <x:v>R1</x:v>
      </x:c>
      <x:c r="F61" t="n">
        <x:v>2</x:v>
      </x:c>
      <x:c r="G61" t="str"/>
      <x:c r="H61" t="str">
        <x:v>GT02</x:v>
      </x:c>
      <x:c r="I61" t="str">
        <x:v>yes</x:v>
      </x:c>
      <x:c r="J61" t="str">
        <x:v>pending</x:v>
      </x:c>
      <x:c r="K61" t="str">
        <x:v>pending</x:v>
      </x:c>
      <x:c r="L61" t="str">
        <x:v>pending</x:v>
      </x:c>
      <x:c r="M61" s="27" t="str"/>
      <x:c r="N61" s="27" t="str"/>
      <x:c r="O61" s="27" t="str"/>
      <x:c r="P61" s="27" t="str"/>
      <x:c r="Q61" s="27" t="str"/>
      <x:c r="R61" s="29" t="str"/>
      <x:c r="S61" s="28" t="n">
        <x:v>600</x:v>
      </x:c>
      <x:c r="T61" s="28" t="n">
        <x:v>0.3902439024390244</x:v>
      </x:c>
      <x:c r="U61" s="28" t="n">
        <x:v>0.10847916666666665</x:v>
      </x:c>
      <x:c r="V61" s="30" t="str">
        <x:f>IF(R61="","",R61*U61)</x:f>
      </x:c>
      <x:c r="W61" s="28" t="str"/>
      <x:c r="X61" s="24" t="str">
        <x:f>IF(OR(R61="",W61=""),"",R61/W61)</x:f>
      </x:c>
      <x:c r="Y61" s="27" t="str">
        <x:v>pending</x:v>
      </x:c>
      <x:c r="Z61" s="27" t="str"/>
      <x:c r="AA61" s="27" t="str"/>
      <x:c r="AB61" s="27" t="str"/>
      <x:c r="AC61" s="31" t="str"/>
      <x:c r="AD61" s="31" t="str"/>
      <x:c r="AE61" s="31" t="str"/>
      <x:c r="AF61" s="27" t="str">
        <x:v>pending</x:v>
      </x:c>
      <x:c r="AG61" s="27" t="str">
        <x:v>pending</x:v>
      </x:c>
      <x:c r="AH61" s="27" t="str">
        <x:v>pending</x:v>
      </x:c>
      <x:c r="AI61" s="27" t="n">
        <x:v>1</x:v>
      </x:c>
      <x:c r="AJ61" s="27" t="str"/>
    </x:row>
    <x:row r="62">
      <x:c r="A62" t="str">
        <x:v>phenotype-first-pilot-v1</x:v>
      </x:c>
      <x:c r="B62" t="str">
        <x:v>v4_val_0028</x:v>
      </x:c>
      <x:c r="C62" t="str">
        <x:v>core</x:v>
      </x:c>
      <x:c r="D62" t="str">
        <x:v>R12_0028</x:v>
      </x:c>
      <x:c r="E62" t="str">
        <x:v>R1</x:v>
      </x:c>
      <x:c r="F62" t="n">
        <x:v>2</x:v>
      </x:c>
      <x:c r="G62" t="str"/>
      <x:c r="H62" t="str">
        <x:v>GT01</x:v>
      </x:c>
      <x:c r="I62" t="str">
        <x:v>yes</x:v>
      </x:c>
      <x:c r="J62" t="str">
        <x:v>pending</x:v>
      </x:c>
      <x:c r="K62" t="str">
        <x:v>pending</x:v>
      </x:c>
      <x:c r="L62" t="str">
        <x:v>pending</x:v>
      </x:c>
      <x:c r="M62" s="27" t="str"/>
      <x:c r="N62" s="27" t="str"/>
      <x:c r="O62" s="27" t="str"/>
      <x:c r="P62" s="27" t="str"/>
      <x:c r="Q62" s="27" t="str"/>
      <x:c r="R62" s="29" t="str"/>
      <x:c r="S62" s="28" t="n">
        <x:v>600</x:v>
      </x:c>
      <x:c r="T62" s="28" t="n">
        <x:v>0.7831620166421929</x:v>
      </x:c>
      <x:c r="U62" s="28" t="n">
        <x:v>0.054054374999999995</x:v>
      </x:c>
      <x:c r="V62" s="30" t="str">
        <x:f>IF(R62="","",R62*U62)</x:f>
      </x:c>
      <x:c r="W62" s="28" t="str"/>
      <x:c r="X62" s="24" t="str">
        <x:f>IF(OR(R62="",W62=""),"",R62/W62)</x:f>
      </x:c>
      <x:c r="Y62" s="27" t="str">
        <x:v>pending</x:v>
      </x:c>
      <x:c r="Z62" s="27" t="str"/>
      <x:c r="AA62" s="27" t="str"/>
      <x:c r="AB62" s="27" t="str"/>
      <x:c r="AC62" s="31" t="str"/>
      <x:c r="AD62" s="31" t="str"/>
      <x:c r="AE62" s="31" t="str"/>
      <x:c r="AF62" s="27" t="str">
        <x:v>pending</x:v>
      </x:c>
      <x:c r="AG62" s="27" t="str">
        <x:v>pending</x:v>
      </x:c>
      <x:c r="AH62" s="27" t="str">
        <x:v>pending</x:v>
      </x:c>
      <x:c r="AI62" s="27" t="n">
        <x:v>1</x:v>
      </x:c>
      <x:c r="AJ62" s="27" t="str"/>
    </x:row>
    <x:row r="63">
      <x:c r="A63" t="str">
        <x:v>phenotype-first-pilot-v1</x:v>
      </x:c>
      <x:c r="B63" t="str">
        <x:v>v4_val_0028</x:v>
      </x:c>
      <x:c r="C63" t="str">
        <x:v>core</x:v>
      </x:c>
      <x:c r="D63" t="str">
        <x:v>R12_0028</x:v>
      </x:c>
      <x:c r="E63" t="str">
        <x:v>R1</x:v>
      </x:c>
      <x:c r="F63" t="n">
        <x:v>2</x:v>
      </x:c>
      <x:c r="G63" t="str"/>
      <x:c r="H63" t="str">
        <x:v>GT02</x:v>
      </x:c>
      <x:c r="I63" t="str">
        <x:v>yes</x:v>
      </x:c>
      <x:c r="J63" t="str">
        <x:v>pending</x:v>
      </x:c>
      <x:c r="K63" t="str">
        <x:v>pending</x:v>
      </x:c>
      <x:c r="L63" t="str">
        <x:v>pending</x:v>
      </x:c>
      <x:c r="M63" s="27" t="str"/>
      <x:c r="N63" s="27" t="str"/>
      <x:c r="O63" s="27" t="str"/>
      <x:c r="P63" s="27" t="str"/>
      <x:c r="Q63" s="27" t="str"/>
      <x:c r="R63" s="29" t="str"/>
      <x:c r="S63" s="28" t="n">
        <x:v>600</x:v>
      </x:c>
      <x:c r="T63" s="28" t="n">
        <x:v>0.7831620166421929</x:v>
      </x:c>
      <x:c r="U63" s="28" t="n">
        <x:v>0.054054374999999995</x:v>
      </x:c>
      <x:c r="V63" s="30" t="str">
        <x:f>IF(R63="","",R63*U63)</x:f>
      </x:c>
      <x:c r="W63" s="28" t="str"/>
      <x:c r="X63" s="24" t="str">
        <x:f>IF(OR(R63="",W63=""),"",R63/W63)</x:f>
      </x:c>
      <x:c r="Y63" s="27" t="str">
        <x:v>pending</x:v>
      </x:c>
      <x:c r="Z63" s="27" t="str"/>
      <x:c r="AA63" s="27" t="str"/>
      <x:c r="AB63" s="27" t="str"/>
      <x:c r="AC63" s="31" t="str"/>
      <x:c r="AD63" s="31" t="str"/>
      <x:c r="AE63" s="31" t="str"/>
      <x:c r="AF63" s="27" t="str">
        <x:v>pending</x:v>
      </x:c>
      <x:c r="AG63" s="27" t="str">
        <x:v>pending</x:v>
      </x:c>
      <x:c r="AH63" s="27" t="str">
        <x:v>pending</x:v>
      </x:c>
      <x:c r="AI63" s="27" t="n">
        <x:v>1</x:v>
      </x:c>
      <x:c r="AJ63" s="27" t="str"/>
    </x:row>
    <x:row r="64">
      <x:c r="A64" t="str">
        <x:v>phenotype-first-pilot-v1</x:v>
      </x:c>
      <x:c r="B64" t="str">
        <x:v>v4_val_0030</x:v>
      </x:c>
      <x:c r="C64" t="str">
        <x:v>core</x:v>
      </x:c>
      <x:c r="D64" t="str">
        <x:v>R12_0030</x:v>
      </x:c>
      <x:c r="E64" t="str">
        <x:v>R1</x:v>
      </x:c>
      <x:c r="F64" t="n">
        <x:v>2</x:v>
      </x:c>
      <x:c r="G64" t="str"/>
      <x:c r="H64" t="str">
        <x:v>GT01</x:v>
      </x:c>
      <x:c r="I64" t="str">
        <x:v>yes</x:v>
      </x:c>
      <x:c r="J64" t="str">
        <x:v>pending</x:v>
      </x:c>
      <x:c r="K64" t="str">
        <x:v>pending</x:v>
      </x:c>
      <x:c r="L64" t="str">
        <x:v>pending</x:v>
      </x:c>
      <x:c r="M64" s="27" t="str"/>
      <x:c r="N64" s="27" t="str"/>
      <x:c r="O64" s="27" t="str"/>
      <x:c r="P64" s="27" t="str"/>
      <x:c r="Q64" s="27" t="str"/>
      <x:c r="R64" s="29" t="str"/>
      <x:c r="S64" s="28" t="n">
        <x:v>600</x:v>
      </x:c>
      <x:c r="T64" s="28" t="n">
        <x:v>0.40261701056869653</x:v>
      </x:c>
      <x:c r="U64" s="28" t="n">
        <x:v>0.10514541666666666</x:v>
      </x:c>
      <x:c r="V64" s="30" t="str">
        <x:f>IF(R64="","",R64*U64)</x:f>
      </x:c>
      <x:c r="W64" s="28" t="str"/>
      <x:c r="X64" s="24" t="str">
        <x:f>IF(OR(R64="",W64=""),"",R64/W64)</x:f>
      </x:c>
      <x:c r="Y64" s="27" t="str">
        <x:v>pending</x:v>
      </x:c>
      <x:c r="Z64" s="27" t="str"/>
      <x:c r="AA64" s="27" t="str"/>
      <x:c r="AB64" s="27" t="str"/>
      <x:c r="AC64" s="31" t="str"/>
      <x:c r="AD64" s="31" t="str"/>
      <x:c r="AE64" s="31" t="str"/>
      <x:c r="AF64" s="27" t="str">
        <x:v>pending</x:v>
      </x:c>
      <x:c r="AG64" s="27" t="str">
        <x:v>pending</x:v>
      </x:c>
      <x:c r="AH64" s="27" t="str">
        <x:v>pending</x:v>
      </x:c>
      <x:c r="AI64" s="27" t="n">
        <x:v>1</x:v>
      </x:c>
      <x:c r="AJ64" s="27" t="str"/>
    </x:row>
    <x:row r="65">
      <x:c r="A65" t="str">
        <x:v>phenotype-first-pilot-v1</x:v>
      </x:c>
      <x:c r="B65" t="str">
        <x:v>v4_val_0030</x:v>
      </x:c>
      <x:c r="C65" t="str">
        <x:v>core</x:v>
      </x:c>
      <x:c r="D65" t="str">
        <x:v>R12_0030</x:v>
      </x:c>
      <x:c r="E65" t="str">
        <x:v>R1</x:v>
      </x:c>
      <x:c r="F65" t="n">
        <x:v>2</x:v>
      </x:c>
      <x:c r="G65" t="str"/>
      <x:c r="H65" t="str">
        <x:v>GT02</x:v>
      </x:c>
      <x:c r="I65" t="str">
        <x:v>yes</x:v>
      </x:c>
      <x:c r="J65" t="str">
        <x:v>pending</x:v>
      </x:c>
      <x:c r="K65" t="str">
        <x:v>pending</x:v>
      </x:c>
      <x:c r="L65" t="str">
        <x:v>pending</x:v>
      </x:c>
      <x:c r="M65" s="27" t="str"/>
      <x:c r="N65" s="27" t="str"/>
      <x:c r="O65" s="27" t="str"/>
      <x:c r="P65" s="27" t="str"/>
      <x:c r="Q65" s="27" t="str"/>
      <x:c r="R65" s="29" t="str"/>
      <x:c r="S65" s="28" t="n">
        <x:v>600</x:v>
      </x:c>
      <x:c r="T65" s="28" t="n">
        <x:v>0.40261701056869653</x:v>
      </x:c>
      <x:c r="U65" s="28" t="n">
        <x:v>0.10514541666666666</x:v>
      </x:c>
      <x:c r="V65" s="30" t="str">
        <x:f>IF(R65="","",R65*U65)</x:f>
      </x:c>
      <x:c r="W65" s="28" t="str"/>
      <x:c r="X65" s="24" t="str">
        <x:f>IF(OR(R65="",W65=""),"",R65/W65)</x:f>
      </x:c>
      <x:c r="Y65" s="27" t="str">
        <x:v>pending</x:v>
      </x:c>
      <x:c r="Z65" s="27" t="str"/>
      <x:c r="AA65" s="27" t="str"/>
      <x:c r="AB65" s="27" t="str"/>
      <x:c r="AC65" s="31" t="str"/>
      <x:c r="AD65" s="31" t="str"/>
      <x:c r="AE65" s="31" t="str"/>
      <x:c r="AF65" s="27" t="str">
        <x:v>pending</x:v>
      </x:c>
      <x:c r="AG65" s="27" t="str">
        <x:v>pending</x:v>
      </x:c>
      <x:c r="AH65" s="27" t="str">
        <x:v>pending</x:v>
      </x:c>
      <x:c r="AI65" s="27" t="n">
        <x:v>1</x:v>
      </x:c>
      <x:c r="AJ65" s="27" t="str"/>
    </x:row>
    <x:row r="66">
      <x:c r="A66" t="str">
        <x:v>phenotype-first-pilot-v1</x:v>
      </x:c>
      <x:c r="B66" t="str">
        <x:v>v4_val_0034</x:v>
      </x:c>
      <x:c r="C66" t="str">
        <x:v>diagnostic</x:v>
      </x:c>
      <x:c r="D66" t="str">
        <x:v>R12_0034</x:v>
      </x:c>
      <x:c r="E66" t="str">
        <x:v>R1</x:v>
      </x:c>
      <x:c r="F66" t="n">
        <x:v>2</x:v>
      </x:c>
      <x:c r="G66" t="str"/>
      <x:c r="H66" t="str">
        <x:v>GT01</x:v>
      </x:c>
      <x:c r="I66" t="str">
        <x:v>yes</x:v>
      </x:c>
      <x:c r="J66" t="str">
        <x:v>pending</x:v>
      </x:c>
      <x:c r="K66" t="str">
        <x:v>pending</x:v>
      </x:c>
      <x:c r="L66" t="str">
        <x:v>pending</x:v>
      </x:c>
      <x:c r="M66" s="27" t="str"/>
      <x:c r="N66" s="27" t="str"/>
      <x:c r="O66" s="27" t="str"/>
      <x:c r="P66" s="27" t="str"/>
      <x:c r="Q66" s="27" t="str"/>
      <x:c r="R66" s="29" t="str"/>
      <x:c r="S66" s="28" t="n">
        <x:v>600</x:v>
      </x:c>
      <x:c r="T66" s="28" t="n">
        <x:v>0.4698972099853157</x:v>
      </x:c>
      <x:c r="U66" s="28" t="n">
        <x:v>0.09009062500000001</x:v>
      </x:c>
      <x:c r="V66" s="30" t="str">
        <x:f>IF(R66="","",R66*U66)</x:f>
      </x:c>
      <x:c r="W66" s="28" t="str"/>
      <x:c r="X66" s="24" t="str">
        <x:f>IF(OR(R66="",W66=""),"",R66/W66)</x:f>
      </x:c>
      <x:c r="Y66" s="27" t="str">
        <x:v>pending</x:v>
      </x:c>
      <x:c r="Z66" s="27" t="str"/>
      <x:c r="AA66" s="27" t="str"/>
      <x:c r="AB66" s="27" t="str"/>
      <x:c r="AC66" s="31" t="str"/>
      <x:c r="AD66" s="31" t="str"/>
      <x:c r="AE66" s="31" t="str"/>
      <x:c r="AF66" s="27" t="str">
        <x:v>pending</x:v>
      </x:c>
      <x:c r="AG66" s="27" t="str">
        <x:v>pending</x:v>
      </x:c>
      <x:c r="AH66" s="27" t="str">
        <x:v>pending</x:v>
      </x:c>
      <x:c r="AI66" s="27" t="n">
        <x:v>1</x:v>
      </x:c>
      <x:c r="AJ66" s="27" t="str"/>
    </x:row>
    <x:row r="67">
      <x:c r="A67" t="str">
        <x:v>phenotype-first-pilot-v1</x:v>
      </x:c>
      <x:c r="B67" t="str">
        <x:v>v4_val_0034</x:v>
      </x:c>
      <x:c r="C67" t="str">
        <x:v>diagnostic</x:v>
      </x:c>
      <x:c r="D67" t="str">
        <x:v>R12_0034</x:v>
      </x:c>
      <x:c r="E67" t="str">
        <x:v>R1</x:v>
      </x:c>
      <x:c r="F67" t="n">
        <x:v>2</x:v>
      </x:c>
      <x:c r="G67" t="str"/>
      <x:c r="H67" t="str">
        <x:v>GT02</x:v>
      </x:c>
      <x:c r="I67" t="str">
        <x:v>yes</x:v>
      </x:c>
      <x:c r="J67" t="str">
        <x:v>pending</x:v>
      </x:c>
      <x:c r="K67" t="str">
        <x:v>pending</x:v>
      </x:c>
      <x:c r="L67" t="str">
        <x:v>pending</x:v>
      </x:c>
      <x:c r="M67" s="27" t="str"/>
      <x:c r="N67" s="27" t="str"/>
      <x:c r="O67" s="27" t="str"/>
      <x:c r="P67" s="27" t="str"/>
      <x:c r="Q67" s="27" t="str"/>
      <x:c r="R67" s="29" t="str"/>
      <x:c r="S67" s="28" t="n">
        <x:v>600</x:v>
      </x:c>
      <x:c r="T67" s="28" t="n">
        <x:v>0.4698972099853157</x:v>
      </x:c>
      <x:c r="U67" s="28" t="n">
        <x:v>0.09009062500000001</x:v>
      </x:c>
      <x:c r="V67" s="30" t="str">
        <x:f>IF(R67="","",R67*U67)</x:f>
      </x:c>
      <x:c r="W67" s="28" t="str"/>
      <x:c r="X67" s="24" t="str">
        <x:f>IF(OR(R67="",W67=""),"",R67/W67)</x:f>
      </x:c>
      <x:c r="Y67" s="27" t="str">
        <x:v>pending</x:v>
      </x:c>
      <x:c r="Z67" s="27" t="str"/>
      <x:c r="AA67" s="27" t="str"/>
      <x:c r="AB67" s="27" t="str"/>
      <x:c r="AC67" s="31" t="str"/>
      <x:c r="AD67" s="31" t="str"/>
      <x:c r="AE67" s="31" t="str"/>
      <x:c r="AF67" s="27" t="str">
        <x:v>pending</x:v>
      </x:c>
      <x:c r="AG67" s="27" t="str">
        <x:v>pending</x:v>
      </x:c>
      <x:c r="AH67" s="27" t="str">
        <x:v>pending</x:v>
      </x:c>
      <x:c r="AI67" s="27" t="n">
        <x:v>1</x:v>
      </x:c>
      <x:c r="AJ67" s="27" t="str"/>
    </x:row>
    <x:row r="68">
      <x:c r="A68" t="str">
        <x:v>phenotype-first-pilot-v1</x:v>
      </x:c>
      <x:c r="B68" t="str">
        <x:v>v4_val_0035</x:v>
      </x:c>
      <x:c r="C68" t="str">
        <x:v>core</x:v>
      </x:c>
      <x:c r="D68" t="str">
        <x:v>R12_0035</x:v>
      </x:c>
      <x:c r="E68" t="str">
        <x:v>R1</x:v>
      </x:c>
      <x:c r="F68" t="n">
        <x:v>2</x:v>
      </x:c>
      <x:c r="G68" t="str"/>
      <x:c r="H68" t="str">
        <x:v>GT01</x:v>
      </x:c>
      <x:c r="I68" t="str">
        <x:v>yes</x:v>
      </x:c>
      <x:c r="J68" t="str">
        <x:v>pending</x:v>
      </x:c>
      <x:c r="K68" t="str">
        <x:v>pending</x:v>
      </x:c>
      <x:c r="L68" t="str">
        <x:v>pending</x:v>
      </x:c>
      <x:c r="M68" s="27" t="str"/>
      <x:c r="N68" s="27" t="str"/>
      <x:c r="O68" s="27" t="str"/>
      <x:c r="P68" s="27" t="str"/>
      <x:c r="Q68" s="27" t="str"/>
      <x:c r="R68" s="29" t="str"/>
      <x:c r="S68" s="28" t="n">
        <x:v>600</x:v>
      </x:c>
      <x:c r="T68" s="28" t="n">
        <x:v>0.608596424496006</x:v>
      </x:c>
      <x:c r="U68" s="28" t="n">
        <x:v>0.06955895833333334</x:v>
      </x:c>
      <x:c r="V68" s="30" t="str">
        <x:f>IF(R68="","",R68*U68)</x:f>
      </x:c>
      <x:c r="W68" s="28" t="str"/>
      <x:c r="X68" s="24" t="str">
        <x:f>IF(OR(R68="",W68=""),"",R68/W68)</x:f>
      </x:c>
      <x:c r="Y68" s="27" t="str">
        <x:v>pending</x:v>
      </x:c>
      <x:c r="Z68" s="27" t="str"/>
      <x:c r="AA68" s="27" t="str"/>
      <x:c r="AB68" s="27" t="str"/>
      <x:c r="AC68" s="31" t="str"/>
      <x:c r="AD68" s="31" t="str"/>
      <x:c r="AE68" s="31" t="str"/>
      <x:c r="AF68" s="27" t="str">
        <x:v>pending</x:v>
      </x:c>
      <x:c r="AG68" s="27" t="str">
        <x:v>pending</x:v>
      </x:c>
      <x:c r="AH68" s="27" t="str">
        <x:v>pending</x:v>
      </x:c>
      <x:c r="AI68" s="27" t="n">
        <x:v>1</x:v>
      </x:c>
      <x:c r="AJ68" s="27" t="str"/>
    </x:row>
    <x:row r="69">
      <x:c r="A69" t="str">
        <x:v>phenotype-first-pilot-v1</x:v>
      </x:c>
      <x:c r="B69" t="str">
        <x:v>v4_val_0035</x:v>
      </x:c>
      <x:c r="C69" t="str">
        <x:v>core</x:v>
      </x:c>
      <x:c r="D69" t="str">
        <x:v>R12_0035</x:v>
      </x:c>
      <x:c r="E69" t="str">
        <x:v>R1</x:v>
      </x:c>
      <x:c r="F69" t="n">
        <x:v>2</x:v>
      </x:c>
      <x:c r="G69" t="str"/>
      <x:c r="H69" t="str">
        <x:v>GT02</x:v>
      </x:c>
      <x:c r="I69" t="str">
        <x:v>yes</x:v>
      </x:c>
      <x:c r="J69" t="str">
        <x:v>pending</x:v>
      </x:c>
      <x:c r="K69" t="str">
        <x:v>pending</x:v>
      </x:c>
      <x:c r="L69" t="str">
        <x:v>pending</x:v>
      </x:c>
      <x:c r="M69" s="27" t="str"/>
      <x:c r="N69" s="27" t="str"/>
      <x:c r="O69" s="27" t="str"/>
      <x:c r="P69" s="27" t="str"/>
      <x:c r="Q69" s="27" t="str"/>
      <x:c r="R69" s="29" t="str"/>
      <x:c r="S69" s="28" t="n">
        <x:v>600</x:v>
      </x:c>
      <x:c r="T69" s="28" t="n">
        <x:v>0.608596424496006</x:v>
      </x:c>
      <x:c r="U69" s="28" t="n">
        <x:v>0.06955895833333334</x:v>
      </x:c>
      <x:c r="V69" s="30" t="str">
        <x:f>IF(R69="","",R69*U69)</x:f>
      </x:c>
      <x:c r="W69" s="28" t="str"/>
      <x:c r="X69" s="24" t="str">
        <x:f>IF(OR(R69="",W69=""),"",R69/W69)</x:f>
      </x:c>
      <x:c r="Y69" s="27" t="str">
        <x:v>pending</x:v>
      </x:c>
      <x:c r="Z69" s="27" t="str"/>
      <x:c r="AA69" s="27" t="str"/>
      <x:c r="AB69" s="27" t="str"/>
      <x:c r="AC69" s="31" t="str"/>
      <x:c r="AD69" s="31" t="str"/>
      <x:c r="AE69" s="31" t="str"/>
      <x:c r="AF69" s="27" t="str">
        <x:v>pending</x:v>
      </x:c>
      <x:c r="AG69" s="27" t="str">
        <x:v>pending</x:v>
      </x:c>
      <x:c r="AH69" s="27" t="str">
        <x:v>pending</x:v>
      </x:c>
      <x:c r="AI69" s="27" t="n">
        <x:v>1</x:v>
      </x:c>
      <x:c r="AJ69" s="27" t="str"/>
    </x:row>
    <x:row r="70">
      <x:c r="A70" t="str">
        <x:v>phenotype-first-pilot-v1</x:v>
      </x:c>
      <x:c r="B70" t="str">
        <x:v>v4_val_0035</x:v>
      </x:c>
      <x:c r="C70" t="str">
        <x:v>core</x:v>
      </x:c>
      <x:c r="D70" t="str">
        <x:v>R12_0035</x:v>
      </x:c>
      <x:c r="E70" t="str">
        <x:v>R1</x:v>
      </x:c>
      <x:c r="F70" t="n">
        <x:v>2</x:v>
      </x:c>
      <x:c r="G70" t="str"/>
      <x:c r="H70" t="str">
        <x:v>GT03</x:v>
      </x:c>
      <x:c r="I70" t="str">
        <x:v>yes</x:v>
      </x:c>
      <x:c r="J70" t="str">
        <x:v>pending</x:v>
      </x:c>
      <x:c r="K70" t="str">
        <x:v>pending</x:v>
      </x:c>
      <x:c r="L70" t="str">
        <x:v>pending</x:v>
      </x:c>
      <x:c r="M70" s="27" t="str"/>
      <x:c r="N70" s="27" t="str"/>
      <x:c r="O70" s="27" t="str"/>
      <x:c r="P70" s="27" t="str"/>
      <x:c r="Q70" s="27" t="str"/>
      <x:c r="R70" s="29" t="str"/>
      <x:c r="S70" s="28" t="n">
        <x:v>600</x:v>
      </x:c>
      <x:c r="T70" s="28" t="n">
        <x:v>0.608596424496006</x:v>
      </x:c>
      <x:c r="U70" s="28" t="n">
        <x:v>0.06955895833333334</x:v>
      </x:c>
      <x:c r="V70" s="30" t="str">
        <x:f>IF(R70="","",R70*U70)</x:f>
      </x:c>
      <x:c r="W70" s="28" t="str"/>
      <x:c r="X70" s="24" t="str">
        <x:f>IF(OR(R70="",W70=""),"",R70/W70)</x:f>
      </x:c>
      <x:c r="Y70" s="27" t="str">
        <x:v>pending</x:v>
      </x:c>
      <x:c r="Z70" s="27" t="str"/>
      <x:c r="AA70" s="27" t="str"/>
      <x:c r="AB70" s="27" t="str"/>
      <x:c r="AC70" s="31" t="str"/>
      <x:c r="AD70" s="31" t="str"/>
      <x:c r="AE70" s="31" t="str"/>
      <x:c r="AF70" s="27" t="str">
        <x:v>pending</x:v>
      </x:c>
      <x:c r="AG70" s="27" t="str">
        <x:v>pending</x:v>
      </x:c>
      <x:c r="AH70" s="27" t="str">
        <x:v>pending</x:v>
      </x:c>
      <x:c r="AI70" s="27" t="n">
        <x:v>1</x:v>
      </x:c>
      <x:c r="AJ70" s="27" t="str"/>
    </x:row>
    <x:row r="71">
      <x:c r="A71" t="str">
        <x:v>phenotype-first-pilot-v1</x:v>
      </x:c>
      <x:c r="B71" t="str">
        <x:v>v4_val_0037</x:v>
      </x:c>
      <x:c r="C71" t="str">
        <x:v>core</x:v>
      </x:c>
      <x:c r="D71" t="str">
        <x:v>R12_0037</x:v>
      </x:c>
      <x:c r="E71" t="str">
        <x:v>R1</x:v>
      </x:c>
      <x:c r="F71" t="n">
        <x:v>2</x:v>
      </x:c>
      <x:c r="G71" t="str"/>
      <x:c r="H71" t="str">
        <x:v>GT01</x:v>
      </x:c>
      <x:c r="I71" t="str">
        <x:v>yes</x:v>
      </x:c>
      <x:c r="J71" t="str">
        <x:v>pending</x:v>
      </x:c>
      <x:c r="K71" t="str">
        <x:v>pending</x:v>
      </x:c>
      <x:c r="L71" t="str">
        <x:v>pending</x:v>
      </x:c>
      <x:c r="M71" s="27" t="str"/>
      <x:c r="N71" s="27" t="str"/>
      <x:c r="O71" s="27" t="str"/>
      <x:c r="P71" s="27" t="str"/>
      <x:c r="Q71" s="27" t="str"/>
      <x:c r="R71" s="29" t="str"/>
      <x:c r="S71" s="28" t="n">
        <x:v>600</x:v>
      </x:c>
      <x:c r="T71" s="28" t="n">
        <x:v>0.3504161191414805</x:v>
      </x:c>
      <x:c r="U71" s="28" t="n">
        <x:v>0.12080874999999998</x:v>
      </x:c>
      <x:c r="V71" s="30" t="str">
        <x:f>IF(R71="","",R71*U71)</x:f>
      </x:c>
      <x:c r="W71" s="28" t="str"/>
      <x:c r="X71" s="24" t="str">
        <x:f>IF(OR(R71="",W71=""),"",R71/W71)</x:f>
      </x:c>
      <x:c r="Y71" s="27" t="str">
        <x:v>pending</x:v>
      </x:c>
      <x:c r="Z71" s="27" t="str"/>
      <x:c r="AA71" s="27" t="str"/>
      <x:c r="AB71" s="27" t="str"/>
      <x:c r="AC71" s="31" t="str"/>
      <x:c r="AD71" s="31" t="str"/>
      <x:c r="AE71" s="31" t="str"/>
      <x:c r="AF71" s="27" t="str">
        <x:v>pending</x:v>
      </x:c>
      <x:c r="AG71" s="27" t="str">
        <x:v>pending</x:v>
      </x:c>
      <x:c r="AH71" s="27" t="str">
        <x:v>pending</x:v>
      </x:c>
      <x:c r="AI71" s="27" t="n">
        <x:v>1</x:v>
      </x:c>
      <x:c r="AJ71" s="27" t="str"/>
    </x:row>
    <x:row r="72">
      <x:c r="A72" t="str">
        <x:v>phenotype-first-pilot-v1</x:v>
      </x:c>
      <x:c r="B72" t="str">
        <x:v>v4_val_0037</x:v>
      </x:c>
      <x:c r="C72" t="str">
        <x:v>core</x:v>
      </x:c>
      <x:c r="D72" t="str">
        <x:v>R12_0037</x:v>
      </x:c>
      <x:c r="E72" t="str">
        <x:v>R1</x:v>
      </x:c>
      <x:c r="F72" t="n">
        <x:v>2</x:v>
      </x:c>
      <x:c r="G72" t="str"/>
      <x:c r="H72" t="str">
        <x:v>GT02</x:v>
      </x:c>
      <x:c r="I72" t="str">
        <x:v>yes</x:v>
      </x:c>
      <x:c r="J72" t="str">
        <x:v>pending</x:v>
      </x:c>
      <x:c r="K72" t="str">
        <x:v>pending</x:v>
      </x:c>
      <x:c r="L72" t="str">
        <x:v>pending</x:v>
      </x:c>
      <x:c r="M72" s="27" t="str"/>
      <x:c r="N72" s="27" t="str"/>
      <x:c r="O72" s="27" t="str"/>
      <x:c r="P72" s="27" t="str"/>
      <x:c r="Q72" s="27" t="str"/>
      <x:c r="R72" s="29" t="str"/>
      <x:c r="S72" s="28" t="n">
        <x:v>600</x:v>
      </x:c>
      <x:c r="T72" s="28" t="n">
        <x:v>0.3504161191414805</x:v>
      </x:c>
      <x:c r="U72" s="28" t="n">
        <x:v>0.12080874999999998</x:v>
      </x:c>
      <x:c r="V72" s="30" t="str">
        <x:f>IF(R72="","",R72*U72)</x:f>
      </x:c>
      <x:c r="W72" s="28" t="str"/>
      <x:c r="X72" s="24" t="str">
        <x:f>IF(OR(R72="",W72=""),"",R72/W72)</x:f>
      </x:c>
      <x:c r="Y72" s="27" t="str">
        <x:v>pending</x:v>
      </x:c>
      <x:c r="Z72" s="27" t="str"/>
      <x:c r="AA72" s="27" t="str"/>
      <x:c r="AB72" s="27" t="str"/>
      <x:c r="AC72" s="31" t="str"/>
      <x:c r="AD72" s="31" t="str"/>
      <x:c r="AE72" s="31" t="str"/>
      <x:c r="AF72" s="27" t="str">
        <x:v>pending</x:v>
      </x:c>
      <x:c r="AG72" s="27" t="str">
        <x:v>pending</x:v>
      </x:c>
      <x:c r="AH72" s="27" t="str">
        <x:v>pending</x:v>
      </x:c>
      <x:c r="AI72" s="27" t="n">
        <x:v>1</x:v>
      </x:c>
      <x:c r="AJ72" s="27" t="str"/>
    </x:row>
    <x:row r="73">
      <x:c r="A73" t="str">
        <x:v>phenotype-first-pilot-v1</x:v>
      </x:c>
      <x:c r="B73" t="str">
        <x:v>v4_val_0002</x:v>
      </x:c>
      <x:c r="C73" t="str">
        <x:v>diagnostic</x:v>
      </x:c>
      <x:c r="D73" t="str">
        <x:v>R21_0002</x:v>
      </x:c>
      <x:c r="E73" t="str">
        <x:v>R2</x:v>
      </x:c>
      <x:c r="F73" t="n">
        <x:v>1</x:v>
      </x:c>
      <x:c r="G73" t="str"/>
      <x:c r="H73" t="str">
        <x:v>GT01</x:v>
      </x:c>
      <x:c r="I73" t="str">
        <x:v>yes</x:v>
      </x:c>
      <x:c r="J73" t="str">
        <x:v>pending</x:v>
      </x:c>
      <x:c r="K73" t="str">
        <x:v>pending</x:v>
      </x:c>
      <x:c r="L73" t="str">
        <x:v>pending</x:v>
      </x:c>
      <x:c r="M73" s="27" t="str"/>
      <x:c r="N73" s="27" t="str"/>
      <x:c r="O73" s="27" t="str"/>
      <x:c r="P73" s="27" t="str"/>
      <x:c r="Q73" s="27" t="str"/>
      <x:c r="R73" s="29" t="str"/>
      <x:c r="S73" s="28" t="n">
        <x:v>600</x:v>
      </x:c>
      <x:c r="T73" s="28" t="n">
        <x:v>0.3969238402381543</x:v>
      </x:c>
      <x:c r="U73" s="28" t="n">
        <x:v>0.10665354166666666</x:v>
      </x:c>
      <x:c r="V73" s="30" t="str">
        <x:f>IF(R73="","",R73*U73)</x:f>
      </x:c>
      <x:c r="W73" s="28" t="str"/>
      <x:c r="X73" s="24" t="str">
        <x:f>IF(OR(R73="",W73=""),"",R73/W73)</x:f>
      </x:c>
      <x:c r="Y73" s="27" t="str">
        <x:v>pending</x:v>
      </x:c>
      <x:c r="Z73" s="27" t="str"/>
      <x:c r="AA73" s="27" t="str"/>
      <x:c r="AB73" s="27" t="str"/>
      <x:c r="AC73" s="31" t="str"/>
      <x:c r="AD73" s="31" t="str"/>
      <x:c r="AE73" s="31" t="str"/>
      <x:c r="AF73" s="27" t="str">
        <x:v>pending</x:v>
      </x:c>
      <x:c r="AG73" s="27" t="str">
        <x:v>pending</x:v>
      </x:c>
      <x:c r="AH73" s="27" t="str">
        <x:v>pending</x:v>
      </x:c>
      <x:c r="AI73" s="27" t="n">
        <x:v>1</x:v>
      </x:c>
      <x:c r="AJ73" s="27" t="str"/>
    </x:row>
    <x:row r="74">
      <x:c r="A74" t="str">
        <x:v>phenotype-first-pilot-v1</x:v>
      </x:c>
      <x:c r="B74" t="str">
        <x:v>v4_val_0002</x:v>
      </x:c>
      <x:c r="C74" t="str">
        <x:v>diagnostic</x:v>
      </x:c>
      <x:c r="D74" t="str">
        <x:v>R21_0002</x:v>
      </x:c>
      <x:c r="E74" t="str">
        <x:v>R2</x:v>
      </x:c>
      <x:c r="F74" t="n">
        <x:v>1</x:v>
      </x:c>
      <x:c r="G74" t="str"/>
      <x:c r="H74" t="str">
        <x:v>GT02</x:v>
      </x:c>
      <x:c r="I74" t="str">
        <x:v>yes</x:v>
      </x:c>
      <x:c r="J74" t="str">
        <x:v>pending</x:v>
      </x:c>
      <x:c r="K74" t="str">
        <x:v>pending</x:v>
      </x:c>
      <x:c r="L74" t="str">
        <x:v>pending</x:v>
      </x:c>
      <x:c r="M74" s="27" t="str"/>
      <x:c r="N74" s="27" t="str"/>
      <x:c r="O74" s="27" t="str"/>
      <x:c r="P74" s="27" t="str"/>
      <x:c r="Q74" s="27" t="str"/>
      <x:c r="R74" s="29" t="str"/>
      <x:c r="S74" s="28" t="n">
        <x:v>600</x:v>
      </x:c>
      <x:c r="T74" s="28" t="n">
        <x:v>0.3969238402381543</x:v>
      </x:c>
      <x:c r="U74" s="28" t="n">
        <x:v>0.10665354166666666</x:v>
      </x:c>
      <x:c r="V74" s="30" t="str">
        <x:f>IF(R74="","",R74*U74)</x:f>
      </x:c>
      <x:c r="W74" s="28" t="str"/>
      <x:c r="X74" s="24" t="str">
        <x:f>IF(OR(R74="",W74=""),"",R74/W74)</x:f>
      </x:c>
      <x:c r="Y74" s="27" t="str">
        <x:v>pending</x:v>
      </x:c>
      <x:c r="Z74" s="27" t="str"/>
      <x:c r="AA74" s="27" t="str"/>
      <x:c r="AB74" s="27" t="str"/>
      <x:c r="AC74" s="31" t="str"/>
      <x:c r="AD74" s="31" t="str"/>
      <x:c r="AE74" s="31" t="str"/>
      <x:c r="AF74" s="27" t="str">
        <x:v>pending</x:v>
      </x:c>
      <x:c r="AG74" s="27" t="str">
        <x:v>pending</x:v>
      </x:c>
      <x:c r="AH74" s="27" t="str">
        <x:v>pending</x:v>
      </x:c>
      <x:c r="AI74" s="27" t="n">
        <x:v>1</x:v>
      </x:c>
      <x:c r="AJ74" s="27" t="str"/>
    </x:row>
    <x:row r="75">
      <x:c r="A75" t="str">
        <x:v>phenotype-first-pilot-v1</x:v>
      </x:c>
      <x:c r="B75" t="str">
        <x:v>v4_val_0005</x:v>
      </x:c>
      <x:c r="C75" t="str">
        <x:v>core</x:v>
      </x:c>
      <x:c r="D75" t="str">
        <x:v>R21_0005</x:v>
      </x:c>
      <x:c r="E75" t="str">
        <x:v>R2</x:v>
      </x:c>
      <x:c r="F75" t="n">
        <x:v>1</x:v>
      </x:c>
      <x:c r="G75" t="str"/>
      <x:c r="H75" t="str">
        <x:v>GT01</x:v>
      </x:c>
      <x:c r="I75" t="str">
        <x:v>yes</x:v>
      </x:c>
      <x:c r="J75" t="str">
        <x:v>pending</x:v>
      </x:c>
      <x:c r="K75" t="str">
        <x:v>pending</x:v>
      </x:c>
      <x:c r="L75" t="str">
        <x:v>pending</x:v>
      </x:c>
      <x:c r="M75" s="27" t="str"/>
      <x:c r="N75" s="27" t="str"/>
      <x:c r="O75" s="27" t="str"/>
      <x:c r="P75" s="27" t="str"/>
      <x:c r="Q75" s="27" t="str"/>
      <x:c r="R75" s="29" t="str"/>
      <x:c r="S75" s="28" t="n">
        <x:v>600</x:v>
      </x:c>
      <x:c r="T75" s="28" t="n">
        <x:v>0.6324110671936759</x:v>
      </x:c>
      <x:c r="U75" s="28" t="n">
        <x:v>0.06693958333333333</x:v>
      </x:c>
      <x:c r="V75" s="30" t="str">
        <x:f>IF(R75="","",R75*U75)</x:f>
      </x:c>
      <x:c r="W75" s="28" t="str"/>
      <x:c r="X75" s="24" t="str">
        <x:f>IF(OR(R75="",W75=""),"",R75/W75)</x:f>
      </x:c>
      <x:c r="Y75" s="27" t="str">
        <x:v>pending</x:v>
      </x:c>
      <x:c r="Z75" s="27" t="str"/>
      <x:c r="AA75" s="27" t="str"/>
      <x:c r="AB75" s="27" t="str"/>
      <x:c r="AC75" s="31" t="str"/>
      <x:c r="AD75" s="31" t="str"/>
      <x:c r="AE75" s="31" t="str"/>
      <x:c r="AF75" s="27" t="str">
        <x:v>pending</x:v>
      </x:c>
      <x:c r="AG75" s="27" t="str">
        <x:v>pending</x:v>
      </x:c>
      <x:c r="AH75" s="27" t="str">
        <x:v>pending</x:v>
      </x:c>
      <x:c r="AI75" s="27" t="n">
        <x:v>1</x:v>
      </x:c>
      <x:c r="AJ75" s="27" t="str"/>
    </x:row>
    <x:row r="76">
      <x:c r="A76" t="str">
        <x:v>phenotype-first-pilot-v1</x:v>
      </x:c>
      <x:c r="B76" t="str">
        <x:v>v4_val_0005</x:v>
      </x:c>
      <x:c r="C76" t="str">
        <x:v>core</x:v>
      </x:c>
      <x:c r="D76" t="str">
        <x:v>R21_0005</x:v>
      </x:c>
      <x:c r="E76" t="str">
        <x:v>R2</x:v>
      </x:c>
      <x:c r="F76" t="n">
        <x:v>1</x:v>
      </x:c>
      <x:c r="G76" t="str"/>
      <x:c r="H76" t="str">
        <x:v>GT02</x:v>
      </x:c>
      <x:c r="I76" t="str">
        <x:v>yes</x:v>
      </x:c>
      <x:c r="J76" t="str">
        <x:v>pending</x:v>
      </x:c>
      <x:c r="K76" t="str">
        <x:v>pending</x:v>
      </x:c>
      <x:c r="L76" t="str">
        <x:v>pending</x:v>
      </x:c>
      <x:c r="M76" s="27" t="str"/>
      <x:c r="N76" s="27" t="str"/>
      <x:c r="O76" s="27" t="str"/>
      <x:c r="P76" s="27" t="str"/>
      <x:c r="Q76" s="27" t="str"/>
      <x:c r="R76" s="29" t="str"/>
      <x:c r="S76" s="28" t="n">
        <x:v>600</x:v>
      </x:c>
      <x:c r="T76" s="28" t="n">
        <x:v>0.6324110671936759</x:v>
      </x:c>
      <x:c r="U76" s="28" t="n">
        <x:v>0.06693958333333333</x:v>
      </x:c>
      <x:c r="V76" s="30" t="str">
        <x:f>IF(R76="","",R76*U76)</x:f>
      </x:c>
      <x:c r="W76" s="28" t="str"/>
      <x:c r="X76" s="24" t="str">
        <x:f>IF(OR(R76="",W76=""),"",R76/W76)</x:f>
      </x:c>
      <x:c r="Y76" s="27" t="str">
        <x:v>pending</x:v>
      </x:c>
      <x:c r="Z76" s="27" t="str"/>
      <x:c r="AA76" s="27" t="str"/>
      <x:c r="AB76" s="27" t="str"/>
      <x:c r="AC76" s="31" t="str"/>
      <x:c r="AD76" s="31" t="str"/>
      <x:c r="AE76" s="31" t="str"/>
      <x:c r="AF76" s="27" t="str">
        <x:v>pending</x:v>
      </x:c>
      <x:c r="AG76" s="27" t="str">
        <x:v>pending</x:v>
      </x:c>
      <x:c r="AH76" s="27" t="str">
        <x:v>pending</x:v>
      </x:c>
      <x:c r="AI76" s="27" t="n">
        <x:v>1</x:v>
      </x:c>
      <x:c r="AJ76" s="27" t="str"/>
    </x:row>
    <x:row r="77">
      <x:c r="A77" t="str">
        <x:v>phenotype-first-pilot-v1</x:v>
      </x:c>
      <x:c r="B77" t="str">
        <x:v>v4_val_0009</x:v>
      </x:c>
      <x:c r="C77" t="str">
        <x:v>core</x:v>
      </x:c>
      <x:c r="D77" t="str">
        <x:v>R21_0009</x:v>
      </x:c>
      <x:c r="E77" t="str">
        <x:v>R2</x:v>
      </x:c>
      <x:c r="F77" t="n">
        <x:v>1</x:v>
      </x:c>
      <x:c r="G77" t="str"/>
      <x:c r="H77" t="str">
        <x:v>GT01</x:v>
      </x:c>
      <x:c r="I77" t="str">
        <x:v>yes</x:v>
      </x:c>
      <x:c r="J77" t="str">
        <x:v>pending</x:v>
      </x:c>
      <x:c r="K77" t="str">
        <x:v>pending</x:v>
      </x:c>
      <x:c r="L77" t="str">
        <x:v>pending</x:v>
      </x:c>
      <x:c r="M77" s="27" t="str"/>
      <x:c r="N77" s="27" t="str"/>
      <x:c r="O77" s="27" t="str"/>
      <x:c r="P77" s="27" t="str"/>
      <x:c r="Q77" s="27" t="str"/>
      <x:c r="R77" s="29" t="str"/>
      <x:c r="S77" s="28" t="n">
        <x:v>600</x:v>
      </x:c>
      <x:c r="T77" s="28" t="n">
        <x:v>0.9060022650056625</x:v>
      </x:c>
      <x:c r="U77" s="28" t="n">
        <x:v>0.046725416666666665</x:v>
      </x:c>
      <x:c r="V77" s="30" t="str">
        <x:f>IF(R77="","",R77*U77)</x:f>
      </x:c>
      <x:c r="W77" s="28" t="str"/>
      <x:c r="X77" s="24" t="str">
        <x:f>IF(OR(R77="",W77=""),"",R77/W77)</x:f>
      </x:c>
      <x:c r="Y77" s="27" t="str">
        <x:v>pending</x:v>
      </x:c>
      <x:c r="Z77" s="27" t="str"/>
      <x:c r="AA77" s="27" t="str"/>
      <x:c r="AB77" s="27" t="str"/>
      <x:c r="AC77" s="31" t="str"/>
      <x:c r="AD77" s="31" t="str"/>
      <x:c r="AE77" s="31" t="str"/>
      <x:c r="AF77" s="27" t="str">
        <x:v>pending</x:v>
      </x:c>
      <x:c r="AG77" s="27" t="str">
        <x:v>pending</x:v>
      </x:c>
      <x:c r="AH77" s="27" t="str">
        <x:v>pending</x:v>
      </x:c>
      <x:c r="AI77" s="27" t="n">
        <x:v>1</x:v>
      </x:c>
      <x:c r="AJ77" s="27" t="str"/>
    </x:row>
    <x:row r="78">
      <x:c r="A78" t="str">
        <x:v>phenotype-first-pilot-v1</x:v>
      </x:c>
      <x:c r="B78" t="str">
        <x:v>v4_val_0016</x:v>
      </x:c>
      <x:c r="C78" t="str">
        <x:v>core</x:v>
      </x:c>
      <x:c r="D78" t="str">
        <x:v>R21_0016</x:v>
      </x:c>
      <x:c r="E78" t="str">
        <x:v>R2</x:v>
      </x:c>
      <x:c r="F78" t="n">
        <x:v>1</x:v>
      </x:c>
      <x:c r="G78" t="str"/>
      <x:c r="H78" t="str">
        <x:v>GT01</x:v>
      </x:c>
      <x:c r="I78" t="str">
        <x:v>yes</x:v>
      </x:c>
      <x:c r="J78" t="str">
        <x:v>pending</x:v>
      </x:c>
      <x:c r="K78" t="str">
        <x:v>pending</x:v>
      </x:c>
      <x:c r="L78" t="str">
        <x:v>pending</x:v>
      </x:c>
      <x:c r="M78" s="27" t="str"/>
      <x:c r="N78" s="27" t="str"/>
      <x:c r="O78" s="27" t="str"/>
      <x:c r="P78" s="27" t="str"/>
      <x:c r="Q78" s="27" t="str"/>
      <x:c r="R78" s="29" t="str"/>
      <x:c r="S78" s="28" t="n">
        <x:v>600</x:v>
      </x:c>
      <x:c r="T78" s="28" t="n">
        <x:v>0.4935225169648365</x:v>
      </x:c>
      <x:c r="U78" s="28" t="n">
        <x:v>0.08577791666666666</x:v>
      </x:c>
      <x:c r="V78" s="30" t="str">
        <x:f>IF(R78="","",R78*U78)</x:f>
      </x:c>
      <x:c r="W78" s="28" t="str"/>
      <x:c r="X78" s="24" t="str">
        <x:f>IF(OR(R78="",W78=""),"",R78/W78)</x:f>
      </x:c>
      <x:c r="Y78" s="27" t="str">
        <x:v>pending</x:v>
      </x:c>
      <x:c r="Z78" s="27" t="str"/>
      <x:c r="AA78" s="27" t="str"/>
      <x:c r="AB78" s="27" t="str"/>
      <x:c r="AC78" s="31" t="str"/>
      <x:c r="AD78" s="31" t="str"/>
      <x:c r="AE78" s="31" t="str"/>
      <x:c r="AF78" s="27" t="str">
        <x:v>pending</x:v>
      </x:c>
      <x:c r="AG78" s="27" t="str">
        <x:v>pending</x:v>
      </x:c>
      <x:c r="AH78" s="27" t="str">
        <x:v>pending</x:v>
      </x:c>
      <x:c r="AI78" s="27" t="n">
        <x:v>1</x:v>
      </x:c>
      <x:c r="AJ78" s="27" t="str"/>
    </x:row>
    <x:row r="79">
      <x:c r="A79" t="str">
        <x:v>phenotype-first-pilot-v1</x:v>
      </x:c>
      <x:c r="B79" t="str">
        <x:v>v4_val_0016</x:v>
      </x:c>
      <x:c r="C79" t="str">
        <x:v>core</x:v>
      </x:c>
      <x:c r="D79" t="str">
        <x:v>R21_0016</x:v>
      </x:c>
      <x:c r="E79" t="str">
        <x:v>R2</x:v>
      </x:c>
      <x:c r="F79" t="n">
        <x:v>1</x:v>
      </x:c>
      <x:c r="G79" t="str"/>
      <x:c r="H79" t="str">
        <x:v>GT02</x:v>
      </x:c>
      <x:c r="I79" t="str">
        <x:v>yes</x:v>
      </x:c>
      <x:c r="J79" t="str">
        <x:v>pending</x:v>
      </x:c>
      <x:c r="K79" t="str">
        <x:v>pending</x:v>
      </x:c>
      <x:c r="L79" t="str">
        <x:v>pending</x:v>
      </x:c>
      <x:c r="M79" s="27" t="str"/>
      <x:c r="N79" s="27" t="str"/>
      <x:c r="O79" s="27" t="str"/>
      <x:c r="P79" s="27" t="str"/>
      <x:c r="Q79" s="27" t="str"/>
      <x:c r="R79" s="29" t="str"/>
      <x:c r="S79" s="28" t="n">
        <x:v>600</x:v>
      </x:c>
      <x:c r="T79" s="28" t="n">
        <x:v>0.4935225169648365</x:v>
      </x:c>
      <x:c r="U79" s="28" t="n">
        <x:v>0.08577791666666666</x:v>
      </x:c>
      <x:c r="V79" s="30" t="str">
        <x:f>IF(R79="","",R79*U79)</x:f>
      </x:c>
      <x:c r="W79" s="28" t="str"/>
      <x:c r="X79" s="24" t="str">
        <x:f>IF(OR(R79="",W79=""),"",R79/W79)</x:f>
      </x:c>
      <x:c r="Y79" s="27" t="str">
        <x:v>pending</x:v>
      </x:c>
      <x:c r="Z79" s="27" t="str"/>
      <x:c r="AA79" s="27" t="str"/>
      <x:c r="AB79" s="27" t="str"/>
      <x:c r="AC79" s="31" t="str"/>
      <x:c r="AD79" s="31" t="str"/>
      <x:c r="AE79" s="31" t="str"/>
      <x:c r="AF79" s="27" t="str">
        <x:v>pending</x:v>
      </x:c>
      <x:c r="AG79" s="27" t="str">
        <x:v>pending</x:v>
      </x:c>
      <x:c r="AH79" s="27" t="str">
        <x:v>pending</x:v>
      </x:c>
      <x:c r="AI79" s="27" t="n">
        <x:v>1</x:v>
      </x:c>
      <x:c r="AJ79" s="27" t="str"/>
    </x:row>
    <x:row r="80">
      <x:c r="A80" t="str">
        <x:v>phenotype-first-pilot-v1</x:v>
      </x:c>
      <x:c r="B80" t="str">
        <x:v>v4_val_0020</x:v>
      </x:c>
      <x:c r="C80" t="str">
        <x:v>core</x:v>
      </x:c>
      <x:c r="D80" t="str">
        <x:v>R21_0020</x:v>
      </x:c>
      <x:c r="E80" t="str">
        <x:v>R2</x:v>
      </x:c>
      <x:c r="F80" t="n">
        <x:v>1</x:v>
      </x:c>
      <x:c r="G80" t="str"/>
      <x:c r="H80" t="str">
        <x:v>GT01</x:v>
      </x:c>
      <x:c r="I80" t="str">
        <x:v>yes</x:v>
      </x:c>
      <x:c r="J80" t="str">
        <x:v>pending</x:v>
      </x:c>
      <x:c r="K80" t="str">
        <x:v>pending</x:v>
      </x:c>
      <x:c r="L80" t="str">
        <x:v>pending</x:v>
      </x:c>
      <x:c r="M80" s="27" t="str"/>
      <x:c r="N80" s="27" t="str"/>
      <x:c r="O80" s="27" t="str"/>
      <x:c r="P80" s="27" t="str"/>
      <x:c r="Q80" s="27" t="str"/>
      <x:c r="R80" s="29" t="str"/>
      <x:c r="S80" s="28" t="n">
        <x:v>600</x:v>
      </x:c>
      <x:c r="T80" s="28" t="n">
        <x:v>0.4554511813265016</x:v>
      </x:c>
      <x:c r="U80" s="28" t="n">
        <x:v>0.09294812499999999</x:v>
      </x:c>
      <x:c r="V80" s="30" t="str">
        <x:f>IF(R80="","",R80*U80)</x:f>
      </x:c>
      <x:c r="W80" s="28" t="str"/>
      <x:c r="X80" s="24" t="str">
        <x:f>IF(OR(R80="",W80=""),"",R80/W80)</x:f>
      </x:c>
      <x:c r="Y80" s="27" t="str">
        <x:v>pending</x:v>
      </x:c>
      <x:c r="Z80" s="27" t="str"/>
      <x:c r="AA80" s="27" t="str"/>
      <x:c r="AB80" s="27" t="str"/>
      <x:c r="AC80" s="31" t="str"/>
      <x:c r="AD80" s="31" t="str"/>
      <x:c r="AE80" s="31" t="str"/>
      <x:c r="AF80" s="27" t="str">
        <x:v>pending</x:v>
      </x:c>
      <x:c r="AG80" s="27" t="str">
        <x:v>pending</x:v>
      </x:c>
      <x:c r="AH80" s="27" t="str">
        <x:v>pending</x:v>
      </x:c>
      <x:c r="AI80" s="27" t="n">
        <x:v>1</x:v>
      </x:c>
      <x:c r="AJ80" s="27" t="str"/>
    </x:row>
    <x:row r="81">
      <x:c r="A81" t="str">
        <x:v>phenotype-first-pilot-v1</x:v>
      </x:c>
      <x:c r="B81" t="str">
        <x:v>v4_val_0020</x:v>
      </x:c>
      <x:c r="C81" t="str">
        <x:v>core</x:v>
      </x:c>
      <x:c r="D81" t="str">
        <x:v>R21_0020</x:v>
      </x:c>
      <x:c r="E81" t="str">
        <x:v>R2</x:v>
      </x:c>
      <x:c r="F81" t="n">
        <x:v>1</x:v>
      </x:c>
      <x:c r="G81" t="str"/>
      <x:c r="H81" t="str">
        <x:v>GT02</x:v>
      </x:c>
      <x:c r="I81" t="str">
        <x:v>yes</x:v>
      </x:c>
      <x:c r="J81" t="str">
        <x:v>pending</x:v>
      </x:c>
      <x:c r="K81" t="str">
        <x:v>pending</x:v>
      </x:c>
      <x:c r="L81" t="str">
        <x:v>pending</x:v>
      </x:c>
      <x:c r="M81" s="27" t="str"/>
      <x:c r="N81" s="27" t="str"/>
      <x:c r="O81" s="27" t="str"/>
      <x:c r="P81" s="27" t="str"/>
      <x:c r="Q81" s="27" t="str"/>
      <x:c r="R81" s="29" t="str"/>
      <x:c r="S81" s="28" t="n">
        <x:v>600</x:v>
      </x:c>
      <x:c r="T81" s="28" t="n">
        <x:v>0.4554511813265016</x:v>
      </x:c>
      <x:c r="U81" s="28" t="n">
        <x:v>0.09294812499999999</x:v>
      </x:c>
      <x:c r="V81" s="30" t="str">
        <x:f>IF(R81="","",R81*U81)</x:f>
      </x:c>
      <x:c r="W81" s="28" t="str"/>
      <x:c r="X81" s="24" t="str">
        <x:f>IF(OR(R81="",W81=""),"",R81/W81)</x:f>
      </x:c>
      <x:c r="Y81" s="27" t="str">
        <x:v>pending</x:v>
      </x:c>
      <x:c r="Z81" s="27" t="str"/>
      <x:c r="AA81" s="27" t="str"/>
      <x:c r="AB81" s="27" t="str"/>
      <x:c r="AC81" s="31" t="str"/>
      <x:c r="AD81" s="31" t="str"/>
      <x:c r="AE81" s="31" t="str"/>
      <x:c r="AF81" s="27" t="str">
        <x:v>pending</x:v>
      </x:c>
      <x:c r="AG81" s="27" t="str">
        <x:v>pending</x:v>
      </x:c>
      <x:c r="AH81" s="27" t="str">
        <x:v>pending</x:v>
      </x:c>
      <x:c r="AI81" s="27" t="n">
        <x:v>1</x:v>
      </x:c>
      <x:c r="AJ81" s="27" t="str"/>
    </x:row>
    <x:row r="82">
      <x:c r="A82" t="str">
        <x:v>phenotype-first-pilot-v1</x:v>
      </x:c>
      <x:c r="B82" t="str">
        <x:v>v4_val_0020</x:v>
      </x:c>
      <x:c r="C82" t="str">
        <x:v>core</x:v>
      </x:c>
      <x:c r="D82" t="str">
        <x:v>R21_0020</x:v>
      </x:c>
      <x:c r="E82" t="str">
        <x:v>R2</x:v>
      </x:c>
      <x:c r="F82" t="n">
        <x:v>1</x:v>
      </x:c>
      <x:c r="G82" t="str"/>
      <x:c r="H82" t="str">
        <x:v>GT03</x:v>
      </x:c>
      <x:c r="I82" t="str">
        <x:v>yes</x:v>
      </x:c>
      <x:c r="J82" t="str">
        <x:v>pending</x:v>
      </x:c>
      <x:c r="K82" t="str">
        <x:v>pending</x:v>
      </x:c>
      <x:c r="L82" t="str">
        <x:v>pending</x:v>
      </x:c>
      <x:c r="M82" s="27" t="str"/>
      <x:c r="N82" s="27" t="str"/>
      <x:c r="O82" s="27" t="str"/>
      <x:c r="P82" s="27" t="str"/>
      <x:c r="Q82" s="27" t="str"/>
      <x:c r="R82" s="29" t="str"/>
      <x:c r="S82" s="28" t="n">
        <x:v>600</x:v>
      </x:c>
      <x:c r="T82" s="28" t="n">
        <x:v>0.4554511813265016</x:v>
      </x:c>
      <x:c r="U82" s="28" t="n">
        <x:v>0.09294812499999999</x:v>
      </x:c>
      <x:c r="V82" s="30" t="str">
        <x:f>IF(R82="","",R82*U82)</x:f>
      </x:c>
      <x:c r="W82" s="28" t="str"/>
      <x:c r="X82" s="24" t="str">
        <x:f>IF(OR(R82="",W82=""),"",R82/W82)</x:f>
      </x:c>
      <x:c r="Y82" s="27" t="str">
        <x:v>pending</x:v>
      </x:c>
      <x:c r="Z82" s="27" t="str"/>
      <x:c r="AA82" s="27" t="str"/>
      <x:c r="AB82" s="27" t="str"/>
      <x:c r="AC82" s="31" t="str"/>
      <x:c r="AD82" s="31" t="str"/>
      <x:c r="AE82" s="31" t="str"/>
      <x:c r="AF82" s="27" t="str">
        <x:v>pending</x:v>
      </x:c>
      <x:c r="AG82" s="27" t="str">
        <x:v>pending</x:v>
      </x:c>
      <x:c r="AH82" s="27" t="str">
        <x:v>pending</x:v>
      </x:c>
      <x:c r="AI82" s="27" t="n">
        <x:v>1</x:v>
      </x:c>
      <x:c r="AJ82" s="27" t="str"/>
    </x:row>
    <x:row r="83">
      <x:c r="A83" t="str">
        <x:v>phenotype-first-pilot-v1</x:v>
      </x:c>
      <x:c r="B83" t="str">
        <x:v>v4_val_0023</x:v>
      </x:c>
      <x:c r="C83" t="str">
        <x:v>diagnostic</x:v>
      </x:c>
      <x:c r="D83" t="str">
        <x:v>R21_0023</x:v>
      </x:c>
      <x:c r="E83" t="str">
        <x:v>R2</x:v>
      </x:c>
      <x:c r="F83" t="n">
        <x:v>1</x:v>
      </x:c>
      <x:c r="G83" t="str"/>
      <x:c r="H83" t="str">
        <x:v>GT01</x:v>
      </x:c>
      <x:c r="I83" t="str">
        <x:v>yes</x:v>
      </x:c>
      <x:c r="J83" t="str">
        <x:v>pending</x:v>
      </x:c>
      <x:c r="K83" t="str">
        <x:v>pending</x:v>
      </x:c>
      <x:c r="L83" t="str">
        <x:v>pending</x:v>
      </x:c>
      <x:c r="M83" s="27" t="str"/>
      <x:c r="N83" s="27" t="str"/>
      <x:c r="O83" s="27" t="str"/>
      <x:c r="P83" s="27" t="str"/>
      <x:c r="Q83" s="27" t="str"/>
      <x:c r="R83" s="29" t="str"/>
      <x:c r="S83" s="28" t="n">
        <x:v>600</x:v>
      </x:c>
      <x:c r="T83" s="28" t="n">
        <x:v>0.3442340791738382</x:v>
      </x:c>
      <x:c r="U83" s="28" t="n">
        <x:v>0.12297833333333334</x:v>
      </x:c>
      <x:c r="V83" s="30" t="str">
        <x:f>IF(R83="","",R83*U83)</x:f>
      </x:c>
      <x:c r="W83" s="28" t="str"/>
      <x:c r="X83" s="24" t="str">
        <x:f>IF(OR(R83="",W83=""),"",R83/W83)</x:f>
      </x:c>
      <x:c r="Y83" s="27" t="str">
        <x:v>pending</x:v>
      </x:c>
      <x:c r="Z83" s="27" t="str"/>
      <x:c r="AA83" s="27" t="str"/>
      <x:c r="AB83" s="27" t="str"/>
      <x:c r="AC83" s="31" t="str"/>
      <x:c r="AD83" s="31" t="str"/>
      <x:c r="AE83" s="31" t="str"/>
      <x:c r="AF83" s="27" t="str">
        <x:v>pending</x:v>
      </x:c>
      <x:c r="AG83" s="27" t="str">
        <x:v>pending</x:v>
      </x:c>
      <x:c r="AH83" s="27" t="str">
        <x:v>pending</x:v>
      </x:c>
      <x:c r="AI83" s="27" t="n">
        <x:v>1</x:v>
      </x:c>
      <x:c r="AJ83" s="27" t="str"/>
    </x:row>
    <x:row r="84">
      <x:c r="A84" t="str">
        <x:v>phenotype-first-pilot-v1</x:v>
      </x:c>
      <x:c r="B84" t="str">
        <x:v>v4_val_0023</x:v>
      </x:c>
      <x:c r="C84" t="str">
        <x:v>diagnostic</x:v>
      </x:c>
      <x:c r="D84" t="str">
        <x:v>R21_0023</x:v>
      </x:c>
      <x:c r="E84" t="str">
        <x:v>R2</x:v>
      </x:c>
      <x:c r="F84" t="n">
        <x:v>1</x:v>
      </x:c>
      <x:c r="G84" t="str"/>
      <x:c r="H84" t="str">
        <x:v>GT02</x:v>
      </x:c>
      <x:c r="I84" t="str">
        <x:v>yes</x:v>
      </x:c>
      <x:c r="J84" t="str">
        <x:v>pending</x:v>
      </x:c>
      <x:c r="K84" t="str">
        <x:v>pending</x:v>
      </x:c>
      <x:c r="L84" t="str">
        <x:v>pending</x:v>
      </x:c>
      <x:c r="M84" s="27" t="str"/>
      <x:c r="N84" s="27" t="str"/>
      <x:c r="O84" s="27" t="str"/>
      <x:c r="P84" s="27" t="str"/>
      <x:c r="Q84" s="27" t="str"/>
      <x:c r="R84" s="29" t="str"/>
      <x:c r="S84" s="28" t="n">
        <x:v>600</x:v>
      </x:c>
      <x:c r="T84" s="28" t="n">
        <x:v>0.3442340791738382</x:v>
      </x:c>
      <x:c r="U84" s="28" t="n">
        <x:v>0.12297833333333334</x:v>
      </x:c>
      <x:c r="V84" s="30" t="str">
        <x:f>IF(R84="","",R84*U84)</x:f>
      </x:c>
      <x:c r="W84" s="28" t="str"/>
      <x:c r="X84" s="24" t="str">
        <x:f>IF(OR(R84="",W84=""),"",R84/W84)</x:f>
      </x:c>
      <x:c r="Y84" s="27" t="str">
        <x:v>pending</x:v>
      </x:c>
      <x:c r="Z84" s="27" t="str"/>
      <x:c r="AA84" s="27" t="str"/>
      <x:c r="AB84" s="27" t="str"/>
      <x:c r="AC84" s="31" t="str"/>
      <x:c r="AD84" s="31" t="str"/>
      <x:c r="AE84" s="31" t="str"/>
      <x:c r="AF84" s="27" t="str">
        <x:v>pending</x:v>
      </x:c>
      <x:c r="AG84" s="27" t="str">
        <x:v>pending</x:v>
      </x:c>
      <x:c r="AH84" s="27" t="str">
        <x:v>pending</x:v>
      </x:c>
      <x:c r="AI84" s="27" t="n">
        <x:v>1</x:v>
      </x:c>
      <x:c r="AJ84" s="27" t="str"/>
    </x:row>
    <x:row r="85">
      <x:c r="A85" t="str">
        <x:v>phenotype-first-pilot-v1</x:v>
      </x:c>
      <x:c r="B85" t="str">
        <x:v>v4_val_0028</x:v>
      </x:c>
      <x:c r="C85" t="str">
        <x:v>core</x:v>
      </x:c>
      <x:c r="D85" t="str">
        <x:v>R21_0028</x:v>
      </x:c>
      <x:c r="E85" t="str">
        <x:v>R2</x:v>
      </x:c>
      <x:c r="F85" t="n">
        <x:v>1</x:v>
      </x:c>
      <x:c r="G85" t="str"/>
      <x:c r="H85" t="str">
        <x:v>GT01</x:v>
      </x:c>
      <x:c r="I85" t="str">
        <x:v>yes</x:v>
      </x:c>
      <x:c r="J85" t="str">
        <x:v>pending</x:v>
      </x:c>
      <x:c r="K85" t="str">
        <x:v>pending</x:v>
      </x:c>
      <x:c r="L85" t="str">
        <x:v>pending</x:v>
      </x:c>
      <x:c r="M85" s="27" t="str"/>
      <x:c r="N85" s="27" t="str"/>
      <x:c r="O85" s="27" t="str"/>
      <x:c r="P85" s="27" t="str"/>
      <x:c r="Q85" s="27" t="str"/>
      <x:c r="R85" s="29" t="str"/>
      <x:c r="S85" s="28" t="n">
        <x:v>600</x:v>
      </x:c>
      <x:c r="T85" s="28" t="n">
        <x:v>0.7831620166421929</x:v>
      </x:c>
      <x:c r="U85" s="28" t="n">
        <x:v>0.054054374999999995</x:v>
      </x:c>
      <x:c r="V85" s="30" t="str">
        <x:f>IF(R85="","",R85*U85)</x:f>
      </x:c>
      <x:c r="W85" s="28" t="str"/>
      <x:c r="X85" s="24" t="str">
        <x:f>IF(OR(R85="",W85=""),"",R85/W85)</x:f>
      </x:c>
      <x:c r="Y85" s="27" t="str">
        <x:v>pending</x:v>
      </x:c>
      <x:c r="Z85" s="27" t="str"/>
      <x:c r="AA85" s="27" t="str"/>
      <x:c r="AB85" s="27" t="str"/>
      <x:c r="AC85" s="31" t="str"/>
      <x:c r="AD85" s="31" t="str"/>
      <x:c r="AE85" s="31" t="str"/>
      <x:c r="AF85" s="27" t="str">
        <x:v>pending</x:v>
      </x:c>
      <x:c r="AG85" s="27" t="str">
        <x:v>pending</x:v>
      </x:c>
      <x:c r="AH85" s="27" t="str">
        <x:v>pending</x:v>
      </x:c>
      <x:c r="AI85" s="27" t="n">
        <x:v>1</x:v>
      </x:c>
      <x:c r="AJ85" s="27" t="str"/>
    </x:row>
    <x:row r="86">
      <x:c r="A86" t="str">
        <x:v>phenotype-first-pilot-v1</x:v>
      </x:c>
      <x:c r="B86" t="str">
        <x:v>v4_val_0028</x:v>
      </x:c>
      <x:c r="C86" t="str">
        <x:v>core</x:v>
      </x:c>
      <x:c r="D86" t="str">
        <x:v>R21_0028</x:v>
      </x:c>
      <x:c r="E86" t="str">
        <x:v>R2</x:v>
      </x:c>
      <x:c r="F86" t="n">
        <x:v>1</x:v>
      </x:c>
      <x:c r="G86" t="str"/>
      <x:c r="H86" t="str">
        <x:v>GT02</x:v>
      </x:c>
      <x:c r="I86" t="str">
        <x:v>yes</x:v>
      </x:c>
      <x:c r="J86" t="str">
        <x:v>pending</x:v>
      </x:c>
      <x:c r="K86" t="str">
        <x:v>pending</x:v>
      </x:c>
      <x:c r="L86" t="str">
        <x:v>pending</x:v>
      </x:c>
      <x:c r="M86" s="27" t="str"/>
      <x:c r="N86" s="27" t="str"/>
      <x:c r="O86" s="27" t="str"/>
      <x:c r="P86" s="27" t="str"/>
      <x:c r="Q86" s="27" t="str"/>
      <x:c r="R86" s="29" t="str"/>
      <x:c r="S86" s="28" t="n">
        <x:v>600</x:v>
      </x:c>
      <x:c r="T86" s="28" t="n">
        <x:v>0.7831620166421929</x:v>
      </x:c>
      <x:c r="U86" s="28" t="n">
        <x:v>0.054054374999999995</x:v>
      </x:c>
      <x:c r="V86" s="30" t="str">
        <x:f>IF(R86="","",R86*U86)</x:f>
      </x:c>
      <x:c r="W86" s="28" t="str"/>
      <x:c r="X86" s="24" t="str">
        <x:f>IF(OR(R86="",W86=""),"",R86/W86)</x:f>
      </x:c>
      <x:c r="Y86" s="27" t="str">
        <x:v>pending</x:v>
      </x:c>
      <x:c r="Z86" s="27" t="str"/>
      <x:c r="AA86" s="27" t="str"/>
      <x:c r="AB86" s="27" t="str"/>
      <x:c r="AC86" s="31" t="str"/>
      <x:c r="AD86" s="31" t="str"/>
      <x:c r="AE86" s="31" t="str"/>
      <x:c r="AF86" s="27" t="str">
        <x:v>pending</x:v>
      </x:c>
      <x:c r="AG86" s="27" t="str">
        <x:v>pending</x:v>
      </x:c>
      <x:c r="AH86" s="27" t="str">
        <x:v>pending</x:v>
      </x:c>
      <x:c r="AI86" s="27" t="n">
        <x:v>1</x:v>
      </x:c>
      <x:c r="AJ86" s="27" t="str"/>
    </x:row>
    <x:row r="87">
      <x:c r="A87" t="str">
        <x:v>phenotype-first-pilot-v1</x:v>
      </x:c>
      <x:c r="B87" t="str">
        <x:v>v4_val_0035</x:v>
      </x:c>
      <x:c r="C87" t="str">
        <x:v>core</x:v>
      </x:c>
      <x:c r="D87" t="str">
        <x:v>R21_0035</x:v>
      </x:c>
      <x:c r="E87" t="str">
        <x:v>R2</x:v>
      </x:c>
      <x:c r="F87" t="n">
        <x:v>1</x:v>
      </x:c>
      <x:c r="G87" t="str"/>
      <x:c r="H87" t="str">
        <x:v>GT01</x:v>
      </x:c>
      <x:c r="I87" t="str">
        <x:v>yes</x:v>
      </x:c>
      <x:c r="J87" t="str">
        <x:v>pending</x:v>
      </x:c>
      <x:c r="K87" t="str">
        <x:v>pending</x:v>
      </x:c>
      <x:c r="L87" t="str">
        <x:v>pending</x:v>
      </x:c>
      <x:c r="M87" s="27" t="str"/>
      <x:c r="N87" s="27" t="str"/>
      <x:c r="O87" s="27" t="str"/>
      <x:c r="P87" s="27" t="str"/>
      <x:c r="Q87" s="27" t="str"/>
      <x:c r="R87" s="29" t="str"/>
      <x:c r="S87" s="28" t="n">
        <x:v>600</x:v>
      </x:c>
      <x:c r="T87" s="28" t="n">
        <x:v>0.608596424496006</x:v>
      </x:c>
      <x:c r="U87" s="28" t="n">
        <x:v>0.06955895833333334</x:v>
      </x:c>
      <x:c r="V87" s="30" t="str">
        <x:f>IF(R87="","",R87*U87)</x:f>
      </x:c>
      <x:c r="W87" s="28" t="str"/>
      <x:c r="X87" s="24" t="str">
        <x:f>IF(OR(R87="",W87=""),"",R87/W87)</x:f>
      </x:c>
      <x:c r="Y87" s="27" t="str">
        <x:v>pending</x:v>
      </x:c>
      <x:c r="Z87" s="27" t="str"/>
      <x:c r="AA87" s="27" t="str"/>
      <x:c r="AB87" s="27" t="str"/>
      <x:c r="AC87" s="31" t="str"/>
      <x:c r="AD87" s="31" t="str"/>
      <x:c r="AE87" s="31" t="str"/>
      <x:c r="AF87" s="27" t="str">
        <x:v>pending</x:v>
      </x:c>
      <x:c r="AG87" s="27" t="str">
        <x:v>pending</x:v>
      </x:c>
      <x:c r="AH87" s="27" t="str">
        <x:v>pending</x:v>
      </x:c>
      <x:c r="AI87" s="27" t="n">
        <x:v>1</x:v>
      </x:c>
      <x:c r="AJ87" s="27" t="str"/>
    </x:row>
    <x:row r="88">
      <x:c r="A88" t="str">
        <x:v>phenotype-first-pilot-v1</x:v>
      </x:c>
      <x:c r="B88" t="str">
        <x:v>v4_val_0035</x:v>
      </x:c>
      <x:c r="C88" t="str">
        <x:v>core</x:v>
      </x:c>
      <x:c r="D88" t="str">
        <x:v>R21_0035</x:v>
      </x:c>
      <x:c r="E88" t="str">
        <x:v>R2</x:v>
      </x:c>
      <x:c r="F88" t="n">
        <x:v>1</x:v>
      </x:c>
      <x:c r="G88" t="str"/>
      <x:c r="H88" t="str">
        <x:v>GT02</x:v>
      </x:c>
      <x:c r="I88" t="str">
        <x:v>yes</x:v>
      </x:c>
      <x:c r="J88" t="str">
        <x:v>pending</x:v>
      </x:c>
      <x:c r="K88" t="str">
        <x:v>pending</x:v>
      </x:c>
      <x:c r="L88" t="str">
        <x:v>pending</x:v>
      </x:c>
      <x:c r="M88" s="27" t="str"/>
      <x:c r="N88" s="27" t="str"/>
      <x:c r="O88" s="27" t="str"/>
      <x:c r="P88" s="27" t="str"/>
      <x:c r="Q88" s="27" t="str"/>
      <x:c r="R88" s="29" t="str"/>
      <x:c r="S88" s="28" t="n">
        <x:v>600</x:v>
      </x:c>
      <x:c r="T88" s="28" t="n">
        <x:v>0.608596424496006</x:v>
      </x:c>
      <x:c r="U88" s="28" t="n">
        <x:v>0.06955895833333334</x:v>
      </x:c>
      <x:c r="V88" s="30" t="str">
        <x:f>IF(R88="","",R88*U88)</x:f>
      </x:c>
      <x:c r="W88" s="28" t="str"/>
      <x:c r="X88" s="24" t="str">
        <x:f>IF(OR(R88="",W88=""),"",R88/W88)</x:f>
      </x:c>
      <x:c r="Y88" s="27" t="str">
        <x:v>pending</x:v>
      </x:c>
      <x:c r="Z88" s="27" t="str"/>
      <x:c r="AA88" s="27" t="str"/>
      <x:c r="AB88" s="27" t="str"/>
      <x:c r="AC88" s="31" t="str"/>
      <x:c r="AD88" s="31" t="str"/>
      <x:c r="AE88" s="31" t="str"/>
      <x:c r="AF88" s="27" t="str">
        <x:v>pending</x:v>
      </x:c>
      <x:c r="AG88" s="27" t="str">
        <x:v>pending</x:v>
      </x:c>
      <x:c r="AH88" s="27" t="str">
        <x:v>pending</x:v>
      </x:c>
      <x:c r="AI88" s="27" t="n">
        <x:v>1</x:v>
      </x:c>
      <x:c r="AJ88" s="27" t="str"/>
    </x:row>
    <x:row r="89">
      <x:c r="A89" t="str">
        <x:v>phenotype-first-pilot-v1</x:v>
      </x:c>
      <x:c r="B89" t="str">
        <x:v>v4_val_0035</x:v>
      </x:c>
      <x:c r="C89" t="str">
        <x:v>core</x:v>
      </x:c>
      <x:c r="D89" t="str">
        <x:v>R21_0035</x:v>
      </x:c>
      <x:c r="E89" t="str">
        <x:v>R2</x:v>
      </x:c>
      <x:c r="F89" t="n">
        <x:v>1</x:v>
      </x:c>
      <x:c r="G89" t="str"/>
      <x:c r="H89" t="str">
        <x:v>GT03</x:v>
      </x:c>
      <x:c r="I89" t="str">
        <x:v>yes</x:v>
      </x:c>
      <x:c r="J89" t="str">
        <x:v>pending</x:v>
      </x:c>
      <x:c r="K89" t="str">
        <x:v>pending</x:v>
      </x:c>
      <x:c r="L89" t="str">
        <x:v>pending</x:v>
      </x:c>
      <x:c r="M89" s="27" t="str"/>
      <x:c r="N89" s="27" t="str"/>
      <x:c r="O89" s="27" t="str"/>
      <x:c r="P89" s="27" t="str"/>
      <x:c r="Q89" s="27" t="str"/>
      <x:c r="R89" s="29" t="str"/>
      <x:c r="S89" s="28" t="n">
        <x:v>600</x:v>
      </x:c>
      <x:c r="T89" s="28" t="n">
        <x:v>0.608596424496006</x:v>
      </x:c>
      <x:c r="U89" s="28" t="n">
        <x:v>0.06955895833333334</x:v>
      </x:c>
      <x:c r="V89" s="30" t="str">
        <x:f>IF(R89="","",R89*U89)</x:f>
      </x:c>
      <x:c r="W89" s="28" t="str"/>
      <x:c r="X89" s="24" t="str">
        <x:f>IF(OR(R89="",W89=""),"",R89/W89)</x:f>
      </x:c>
      <x:c r="Y89" s="27" t="str">
        <x:v>pending</x:v>
      </x:c>
      <x:c r="Z89" s="27" t="str"/>
      <x:c r="AA89" s="27" t="str"/>
      <x:c r="AB89" s="27" t="str"/>
      <x:c r="AC89" s="31" t="str"/>
      <x:c r="AD89" s="31" t="str"/>
      <x:c r="AE89" s="31" t="str"/>
      <x:c r="AF89" s="27" t="str">
        <x:v>pending</x:v>
      </x:c>
      <x:c r="AG89" s="27" t="str">
        <x:v>pending</x:v>
      </x:c>
      <x:c r="AH89" s="27" t="str">
        <x:v>pending</x:v>
      </x:c>
      <x:c r="AI89" s="27" t="n">
        <x:v>1</x:v>
      </x:c>
      <x:c r="AJ89" s="27" t="str"/>
    </x:row>
  </x:sheetData>
  <x:mergeCells>
    <x:mergeCell ref="A1:AJ1"/>
    <x:mergeCell ref="A2:AJ2"/>
  </x:mergeCells>
  <x:dataValidations count="8">
    <x:dataValidation type="list" sqref="I5:I89">
      <x:formula1>"yes,no,uncertain"</x:formula1>
    </x:dataValidation>
    <x:dataValidation type="list" sqref="J5:J89">
      <x:formula1>"pending,measurable,visible_unmeasurable,not_a_leaf"</x:formula1>
    </x:dataValidation>
    <x:dataValidation type="list" sqref="K5:K89">
      <x:formula1>"pending,complete,incomplete,not_applicable"</x:formula1>
    </x:dataValidation>
    <x:dataValidation type="list" sqref="L5:L89">
      <x:formula1>"pending,correct,uncertain,unmeasurable"</x:formula1>
    </x:dataValidation>
    <x:dataValidation type="list" sqref="Y5:Y89">
      <x:formula1>"pending,yes,no,not_applicable"</x:formula1>
    </x:dataValidation>
    <x:dataValidation type="list" sqref="AF5:AF89">
      <x:formula1>"pending,none,minor_interpolated,major_unmeasurable"</x:formula1>
    </x:dataValidation>
    <x:dataValidation type="list" sqref="AG5:AG89">
      <x:formula1>"pending,yes,no"</x:formula1>
    </x:dataValidation>
    <x:dataValidation type="list" sqref="AH5:AH89">
      <x:formula1>"pending,high,medium,low"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2b9b3f00fb40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35" hidden="0" customWidth="1"/>
  </x:cols>
  <x:sheetData>
    <x:row r="1" ht="30" customHeight="1">
      <x:c r="A1" s="3" t="str">
        <x:v>方法—GT匹配与叶片级误差</x:v>
      </x:c>
    </x:row>
    <x:row r="2" ht="34" customHeight="1">
      <x:c r="A2" s="6" t="str">
        <x:v>GT冻结后由脚本生成；人工GT表中不得出现method_id。</x:v>
      </x:c>
    </x:row>
    <x:row r="4">
      <x:c r="A4" s="11" t="str">
        <x:v>dataset_id</x:v>
      </x:c>
      <x:c r="B4" s="11" t="str">
        <x:v>pilot_group</x:v>
      </x:c>
      <x:c r="C4" s="11" t="str">
        <x:v>method_id</x:v>
      </x:c>
      <x:c r="D4" s="11" t="str">
        <x:v>gt_leaf_id</x:v>
      </x:c>
      <x:c r="E4" s="11" t="str">
        <x:v>pred_path_id</x:v>
      </x:c>
      <x:c r="F4" s="11" t="str">
        <x:v>match_status</x:v>
      </x:c>
      <x:c r="G4" s="11" t="str">
        <x:v>match_cost_tip_norm</x:v>
      </x:c>
      <x:c r="H4" s="11" t="str">
        <x:v>match_cost_curve_norm</x:v>
      </x:c>
      <x:c r="I4" s="11" t="str">
        <x:v>gt_length_mm</x:v>
      </x:c>
      <x:c r="J4" s="11" t="str">
        <x:v>pred_length_mm</x:v>
      </x:c>
      <x:c r="K4" s="11" t="str">
        <x:v>length_abs_error_mm</x:v>
      </x:c>
      <x:c r="L4" s="11" t="str">
        <x:v>length_ape</x:v>
      </x:c>
      <x:c r="M4" s="11" t="str">
        <x:v>gt_divergence_angle_deg</x:v>
      </x:c>
      <x:c r="N4" s="11" t="str">
        <x:v>pred_divergence_angle_deg</x:v>
      </x:c>
      <x:c r="O4" s="11" t="str">
        <x:v>angle_abs_error_deg</x:v>
      </x:c>
      <x:c r="P4" s="11" t="str">
        <x:v>gt_curvature_mm_inv</x:v>
      </x:c>
      <x:c r="Q4" s="11" t="str">
        <x:v>pred_curvature_mm_inv</x:v>
      </x:c>
      <x:c r="R4" s="11" t="str">
        <x:v>curvature_abs_error_mm_inv</x:v>
      </x:c>
      <x:c r="S4" s="11" t="str">
        <x:v>gt_leaf_count</x:v>
      </x:c>
      <x:c r="T4" s="11" t="str">
        <x:v>pred_path_count</x:v>
      </x:c>
      <x:c r="U4" s="11" t="str">
        <x:v>matched_count</x:v>
      </x:c>
      <x:c r="V4" s="11" t="str">
        <x:v>missed_count</x:v>
      </x:c>
      <x:c r="W4" s="11" t="str">
        <x:v>extra_count</x:v>
      </x:c>
      <x:c r="X4" s="11" t="str">
        <x:v>evaluation_flag</x:v>
      </x:c>
      <x:c r="Y4" s="11" t="str">
        <x:v>notes</x:v>
      </x:c>
    </x:row>
    <x:row r="5">
      <x:c r="A5" t="str"/>
      <x:c r="B5" t="str"/>
      <x:c r="C5" t="str">
        <x:v>teacher_direct</x:v>
      </x:c>
      <x:c r="D5" t="str"/>
      <x:c r="E5" t="str"/>
      <x:c r="F5" t="str">
        <x:v>pending</x:v>
      </x:c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>
        <x:v>pending</x:v>
      </x:c>
      <x:c r="Y5" t="str">
        <x:v>示例行；无真实结果</x:v>
      </x:c>
    </x:row>
  </x:sheetData>
  <x:mergeCells>
    <x:mergeCell ref="A1:Y1"/>
    <x:mergeCell ref="A2:Y2"/>
  </x:mergeCells>
  <x:dataValidations count="2">
    <x:dataValidation type="list" sqref="C5:C200">
      <x:formula1>"teacher_direct,student_B,student_D"</x:formula1>
    </x:dataValidation>
    <x:dataValidation type="list" sqref="F5:F200">
      <x:formula1>"pending,matched,missed_gt,extra_prediction,ambiguous"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5" hidden="0" customWidth="1"/>
  </x:cols>
  <x:sheetData>
    <x:row r="1" ht="30" customHeight="1">
      <x:c r="A1" s="3" t="str">
        <x:v>Plant-level paired error</x:v>
      </x:c>
    </x:row>
    <x:row r="2" ht="34" customHeight="1">
      <x:c r="A2" s="6" t="str">
        <x:v>每株先汇总，再比较Teacher-direct、B、D；Diagnostic不得混入Core平均。</x:v>
      </x:c>
    </x:row>
    <x:row r="4">
      <x:c r="A4" s="11" t="str">
        <x:v>dataset_id</x:v>
      </x:c>
      <x:c r="B4" s="11" t="str">
        <x:v>pilot_group</x:v>
      </x:c>
      <x:c r="C4" s="11" t="str">
        <x:v>method_id</x:v>
      </x:c>
      <x:c r="D4" s="11" t="str">
        <x:v>gt_leaf_count</x:v>
      </x:c>
      <x:c r="E4" s="11" t="str">
        <x:v>measurable_gt_count</x:v>
      </x:c>
      <x:c r="F4" s="11" t="str">
        <x:v>pred_path_count</x:v>
      </x:c>
      <x:c r="G4" s="11" t="str">
        <x:v>matched_count</x:v>
      </x:c>
      <x:c r="H4" s="11" t="str">
        <x:v>missed_count</x:v>
      </x:c>
      <x:c r="I4" s="11" t="str">
        <x:v>extra_count</x:v>
      </x:c>
      <x:c r="J4" s="11" t="str">
        <x:v>leaf_recall</x:v>
      </x:c>
      <x:c r="K4" s="11" t="str">
        <x:v>path_precision</x:v>
      </x:c>
      <x:c r="L4" s="11" t="str">
        <x:v>leaf_count_ae</x:v>
      </x:c>
      <x:c r="M4" s="11" t="str">
        <x:v>gt_total_length_mm</x:v>
      </x:c>
      <x:c r="N4" s="11" t="str">
        <x:v>pred_total_length_mm</x:v>
      </x:c>
      <x:c r="O4" s="11" t="str">
        <x:v>total_length_ape</x:v>
      </x:c>
      <x:c r="P4" s="11" t="str">
        <x:v>matched_leaf_length_mdape</x:v>
      </x:c>
      <x:c r="Q4" s="11" t="str">
        <x:v>matched_angle_mae_deg</x:v>
      </x:c>
      <x:c r="R4" s="11" t="str">
        <x:v>matched_curvature_mae_mm_inv</x:v>
      </x:c>
      <x:c r="S4" s="11" t="str">
        <x:v>include_in_core_summary</x:v>
      </x:c>
      <x:c r="T4" s="11" t="str">
        <x:v>notes</x:v>
      </x:c>
    </x:row>
    <x:row r="5">
      <x:c r="A5" t="str"/>
      <x:c r="B5" t="str"/>
      <x:c r="C5" t="str">
        <x:v>student_B</x:v>
      </x:c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>
        <x:v>示例行；无真实结果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48" hidden="0" customWidth="1"/>
    <x:col min="5" max="5" width="52" hidden="0" customWidth="1"/>
  </x:cols>
  <x:sheetData>
    <x:row r="1" ht="30" customHeight="1">
      <x:c r="A1" s="3" t="str">
        <x:v>CSV字段字典</x:v>
      </x:c>
    </x:row>
    <x:row r="2" ht="34" customHeight="1">
      <x:c r="A2" s="6" t="str">
        <x:v>每列只保存一种数据类型；缺失原因显式编码；原始人工记录不被覆盖。</x:v>
      </x:c>
    </x:row>
    <x:row r="4">
      <x:c r="A4" s="11" t="str">
        <x:v>表</x:v>
      </x:c>
      <x:c r="B4" s="11" t="str">
        <x:v>字段</x:v>
      </x:c>
      <x:c r="C4" s="11" t="str">
        <x:v>类型/单位</x:v>
      </x:c>
      <x:c r="D4" s="11" t="str">
        <x:v>允许值或公式</x:v>
      </x:c>
      <x:c r="E4" s="11" t="str">
        <x:v>说明</x:v>
      </x:c>
    </x:row>
    <x:row r="5">
      <x:c r="A5" s="12" t="str">
        <x:v>samples</x:v>
      </x:c>
      <x:c r="B5" s="12" t="str">
        <x:v>pilot_group</x:v>
      </x:c>
      <x:c r="C5" s="12" t="str">
        <x:v>category</x:v>
      </x:c>
      <x:c r="D5" s="12" t="str">
        <x:v>core | diagnostic</x:v>
      </x:c>
      <x:c r="E5" s="12" t="str">
        <x:v>两组统计严格分开</x:v>
      </x:c>
    </x:row>
    <x:row r="6">
      <x:c r="A6" s="12" t="str">
        <x:v>samples</x:v>
      </x:c>
      <x:c r="B6" s="12" t="str">
        <x:v>mm_per_output_px</x:v>
      </x:c>
      <x:c r="C6" s="12" t="str">
        <x:v>mm/px</x:v>
      </x:c>
      <x:c r="D6" s="12" t="str">
        <x:v>25.4/(source_dpi*resize_scale)</x:v>
      </x:c>
      <x:c r="E6" s="12" t="str">
        <x:v>扫描元数据换算</x:v>
      </x:c>
    </x:row>
    <x:row r="7">
      <x:c r="A7" s="12" t="str">
        <x:v>manual</x:v>
      </x:c>
      <x:c r="B7" s="12" t="str">
        <x:v>visibility_status</x:v>
      </x:c>
      <x:c r="C7" s="12" t="str">
        <x:v>category</x:v>
      </x:c>
      <x:c r="D7" s="12" t="str">
        <x:v>measurable | visible_unmeasurable | not_a_leaf</x:v>
      </x:c>
      <x:c r="E7" s="12" t="str">
        <x:v>可见但不可测仍计入存在统计</x:v>
      </x:c>
    </x:row>
    <x:row r="8">
      <x:c r="A8" s="12" t="str">
        <x:v>manual</x:v>
      </x:c>
      <x:c r="B8" s="12" t="str">
        <x:v>trace_status</x:v>
      </x:c>
      <x:c r="C8" s="12" t="str">
        <x:v>category</x:v>
      </x:c>
      <x:c r="D8" s="12" t="str">
        <x:v>complete | incomplete | not_applicable</x:v>
      </x:c>
      <x:c r="E8" s="12" t="str">
        <x:v>连续表型仅用complete</x:v>
      </x:c>
    </x:row>
    <x:row r="9">
      <x:c r="A9" s="12" t="str">
        <x:v>manual</x:v>
      </x:c>
      <x:c r="B9" s="12" t="str">
        <x:v>length_mm</x:v>
      </x:c>
      <x:c r="C9" s="12" t="str">
        <x:v>mm</x:v>
      </x:c>
      <x:c r="D9" s="12" t="str">
        <x:v>length_px*mm_per_output_px</x:v>
      </x:c>
      <x:c r="E9" s="12" t="str">
        <x:v>共同地上部基点到叶尖</x:v>
      </x:c>
    </x:row>
    <x:row r="10">
      <x:c r="A10" s="12" t="str">
        <x:v>manual</x:v>
      </x:c>
      <x:c r="B10" s="12" t="str">
        <x:v>length_bbox_norm</x:v>
      </x:c>
      <x:c r="C10" s="12" t="str">
        <x:v>ratio</x:v>
      </x:c>
      <x:c r="D10" s="12" t="str">
        <x:v>length_px/shoot_bbox_diag_px</x:v>
      </x:c>
      <x:c r="E10" s="12" t="str">
        <x:v>尺度敏感性分析</x:v>
      </x:c>
    </x:row>
    <x:row r="11">
      <x:c r="A11" s="12" t="str">
        <x:v>manual</x:v>
      </x:c>
      <x:c r="B11" s="12" t="str">
        <x:v>divergence_angle_deg</x:v>
      </x:c>
      <x:c r="C11" s="12" t="str">
        <x:v>degree</x:v>
      </x:c>
      <x:c r="D11" s="12" t="str">
        <x:v>0–180; main path=NA</x:v>
      </x:c>
      <x:c r="E11" s="12" t="str">
        <x:v>局部切线夹角</x:v>
      </x:c>
    </x:row>
    <x:row r="12">
      <x:c r="A12" s="12" t="str">
        <x:v>manual</x:v>
      </x:c>
      <x:c r="B12" s="12" t="str">
        <x:v>mean_abs_curvature_mm_inv</x:v>
      </x:c>
      <x:c r="C12" s="12" t="str">
        <x:v>mm^-1</x:v>
      </x:c>
      <x:c r="D12" s="12" t="str">
        <x:v>total absolute turning/path length</x:v>
      </x:c>
      <x:c r="E12" s="12" t="str">
        <x:v>探索指标</x:v>
      </x:c>
    </x:row>
    <x:row r="13">
      <x:c r="A13" s="12" t="str">
        <x:v>manual</x:v>
      </x:c>
      <x:c r="B13" s="12" t="str">
        <x:v>evaluation_only_no_training</x:v>
      </x:c>
      <x:c r="C13" s="12" t="str">
        <x:v>integer</x:v>
      </x:c>
      <x:c r="D13" s="12" t="str">
        <x:v>固定为1</x:v>
      </x:c>
      <x:c r="E13" s="12" t="str">
        <x:v>禁止成为训练标签</x:v>
      </x:c>
    </x:row>
    <x:row r="14">
      <x:c r="A14" s="12" t="str">
        <x:v>evaluation</x:v>
      </x:c>
      <x:c r="B14" s="12" t="str">
        <x:v>match_status</x:v>
      </x:c>
      <x:c r="C14" s="12" t="str">
        <x:v>category</x:v>
      </x:c>
      <x:c r="D14" s="12" t="str">
        <x:v>matched | missed_gt | extra_prediction | ambiguous</x:v>
      </x:c>
      <x:c r="E14" s="12" t="str">
        <x:v>一对一器官匹配</x:v>
      </x:c>
    </x:row>
    <x:row r="15">
      <x:c r="A15" s="12" t="str">
        <x:v>evaluation</x:v>
      </x:c>
      <x:c r="B15" s="12" t="str">
        <x:v>length_ape</x:v>
      </x:c>
      <x:c r="C15" s="12" t="str">
        <x:v>ratio</x:v>
      </x:c>
      <x:c r="D15" s="12" t="str">
        <x:v>abs(pred-gt)/gt</x:v>
      </x:c>
      <x:c r="E15" s="12" t="str">
        <x:v>仅matched且GT可测</x:v>
      </x:c>
    </x:row>
    <x:row r="16">
      <x:c r="A16" s="12" t="str">
        <x:v>plant</x:v>
      </x:c>
      <x:c r="B16" s="12" t="str">
        <x:v>leaf_recall</x:v>
      </x:c>
      <x:c r="C16" s="12" t="str">
        <x:v>ratio</x:v>
      </x:c>
      <x:c r="D16" s="12" t="str">
        <x:v>matched/measurable_gt</x:v>
      </x:c>
      <x:c r="E16" s="12" t="str">
        <x:v>植株级覆盖</x:v>
      </x:c>
    </x:row>
    <x:row r="17">
      <x:c r="A17" s="12" t="str">
        <x:v>plant</x:v>
      </x:c>
      <x:c r="B17" s="12" t="str">
        <x:v>path_precision</x:v>
      </x:c>
      <x:c r="C17" s="12" t="str">
        <x:v>ratio</x:v>
      </x:c>
      <x:c r="D17" s="12" t="str">
        <x:v>matched/all_predictions</x:v>
      </x:c>
      <x:c r="E17" s="12" t="str">
        <x:v>植株级假枝惩罚</x:v>
      </x:c>
    </x:row>
    <x:row r="18">
      <x:c r="A18" s="12" t="str">
        <x:v>plant</x:v>
      </x:c>
      <x:c r="B18" s="12" t="str">
        <x:v>total_length_ape</x:v>
      </x:c>
      <x:c r="C18" s="12" t="str">
        <x:v>ratio</x:v>
      </x:c>
      <x:c r="D18" s="12" t="str">
        <x:v>abs(sum_pred-sum_gt)/sum_gt</x:v>
      </x:c>
      <x:c r="E18" s="12" t="str">
        <x:v>与覆盖指标联合解释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3" hidden="0" customWidth="1"/>
    <x:col min="3" max="3" width="43" hidden="0" customWidth="1"/>
    <x:col min="4" max="4" width="43" hidden="0" customWidth="1"/>
  </x:cols>
  <x:sheetData>
    <x:row r="1" ht="30" customHeight="1">
      <x:c r="A1" s="3" t="str">
        <x:v>Pilot决策规则</x:v>
      </x:c>
    </x:row>
    <x:row r="2" ht="34" customHeight="1">
      <x:c r="A2" s="6" t="str">
        <x:v>以Core 12的plant-level配对误差为主，Diagnostic 4只作解释。</x:v>
      </x:c>
    </x:row>
    <x:row r="4">
      <x:c r="A4" s="11" t="str">
        <x:v>证据</x:v>
      </x:c>
      <x:c r="B4" s="11" t="str">
        <x:v>必要条件</x:v>
      </x:c>
      <x:c r="C4" s="11" t="str">
        <x:v>动作</x:v>
      </x:c>
      <x:c r="D4" s="11" t="str">
        <x:v>禁止的过度解释</x:v>
      </x:c>
    </x:row>
    <x:row r="5">
      <x:c r="A5" s="12" t="str">
        <x:v>B &gt; D</x:v>
      </x:c>
      <x:c r="B5" s="12" t="str">
        <x:v>超过MDC95，主指标改善且结构指标不系统恶化</x:v>
      </x:c>
      <x:c r="C5" s="12" t="str">
        <x:v>淘汰增强Teacher，冻结B</x:v>
      </x:c>
      <x:c r="D5" s="12" t="str">
        <x:v>不能用Diagnostic平均替代Core</x:v>
      </x:c>
    </x:row>
    <x:row r="6">
      <x:c r="A6" s="12" t="str">
        <x:v>D &gt; B</x:v>
      </x:c>
      <x:c r="B6" s="12" t="str">
        <x:v>收益超过MDC95和实际差异门槛</x:v>
      </x:c>
      <x:c r="C6" s="12" t="str">
        <x:v>讨论复杂度是否值得</x:v>
      </x:c>
      <x:c r="D6" s="12" t="str">
        <x:v>不自动恢复C/D开发</x:v>
      </x:c>
    </x:row>
    <x:row r="7">
      <x:c r="A7" s="12" t="str">
        <x:v>Teacher-direct &gt;= B</x:v>
      </x:c>
      <x:c r="B7" s="12" t="str">
        <x:v>表型与结构指标不劣</x:v>
      </x:c>
      <x:c r="C7" s="12" t="str">
        <x:v>重审Student必要性</x:v>
      </x:c>
      <x:c r="D7" s="12" t="str">
        <x:v>不能因Student复制Teacher更稳定就保留</x:v>
      </x:c>
    </x:row>
    <x:row r="8">
      <x:c r="A8" s="12" t="str">
        <x:v>B &gt; Teacher-direct</x:v>
      </x:c>
      <x:c r="B8" s="12" t="str">
        <x:v>长度/角度产生可重复改善</x:v>
      </x:c>
      <x:c r="C8" s="12" t="str">
        <x:v>进入Student学习价值验证</x:v>
      </x:c>
      <x:c r="D8" s="12" t="str">
        <x:v>尚不能读取test</x:v>
      </x:c>
    </x:row>
    <x:row r="9">
      <x:c r="A9" s="12" t="str">
        <x:v>三者均差</x:v>
      </x:c>
      <x:c r="B9" s="12" t="str">
        <x:v>表型误差超过GT测量底线且结构问题持续</x:v>
      </x:c>
      <x:c r="C9" s="12" t="str">
        <x:v>转向point representation/relation modeling</x:v>
      </x:c>
      <x:c r="D9" s="12" t="str">
        <x:v>停止Teacher规则修补</x:v>
      </x:c>
    </x:row>
  </x:sheetData>
  <x:mergeCells>
    <x:mergeCell ref="A1:D1"/>
    <x:mergeCell ref="A2:D2"/>
  </x:mergeCells>
  <x:pageMargins left="0.7" right="0.7" top="0.75" bottom="0.75" header="0.3" footer="0.3"/>
</x:worksheet>
</file>